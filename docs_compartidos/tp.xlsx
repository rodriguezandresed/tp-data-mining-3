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ocuments\Maestria_de_Datos_Austral\Materias\material-teorico\intro_data_mining\TPs faltantes\"/>
    </mc:Choice>
  </mc:AlternateContent>
  <xr:revisionPtr revIDLastSave="0" documentId="13_ncr:1_{013116D9-859B-471C-9BAC-18A4289E31B9}" xr6:coauthVersionLast="47" xr6:coauthVersionMax="47" xr10:uidLastSave="{00000000-0000-0000-0000-000000000000}"/>
  <bookViews>
    <workbookView xWindow="-120" yWindow="-120" windowWidth="38640" windowHeight="21120" xr2:uid="{D53BDA35-6FBA-44CF-A45D-832AF2302611}"/>
  </bookViews>
  <sheets>
    <sheet name="Hoja1" sheetId="1" r:id="rId1"/>
  </sheets>
  <definedNames>
    <definedName name="_xlnm._FilterDatabase" localSheetId="0" hidden="1">Hoja1!$C$1:$F$15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1" i="1" l="1"/>
  <c r="W88" i="1"/>
  <c r="Q88" i="1"/>
  <c r="W87" i="1"/>
  <c r="W85" i="1"/>
  <c r="Q85" i="1"/>
  <c r="W84" i="1"/>
  <c r="Z85" i="1" s="1"/>
  <c r="W79" i="1"/>
  <c r="Q79" i="1"/>
  <c r="W78" i="1"/>
  <c r="Z79" i="1" s="1"/>
  <c r="W76" i="1"/>
  <c r="Q76" i="1"/>
  <c r="W75" i="1"/>
  <c r="Z76" i="1" s="1"/>
  <c r="Q71" i="1"/>
  <c r="AG54" i="1"/>
  <c r="W67" i="1"/>
  <c r="Q67" i="1"/>
  <c r="W66" i="1"/>
  <c r="Z66" i="1" s="1"/>
  <c r="W64" i="1"/>
  <c r="Q64" i="1"/>
  <c r="W63" i="1"/>
  <c r="Z64" i="1" s="1"/>
  <c r="W58" i="1"/>
  <c r="Q58" i="1"/>
  <c r="W57" i="1"/>
  <c r="Z58" i="1" s="1"/>
  <c r="W55" i="1"/>
  <c r="Q55" i="1"/>
  <c r="W54" i="1"/>
  <c r="Q50" i="1"/>
  <c r="R50" i="1"/>
  <c r="W37" i="1"/>
  <c r="S41" i="1"/>
  <c r="P41" i="1"/>
  <c r="J41" i="1"/>
  <c r="P40" i="1"/>
  <c r="S40" i="1" s="1"/>
  <c r="P38" i="1"/>
  <c r="J38" i="1"/>
  <c r="P37" i="1"/>
  <c r="S38" i="1" s="1"/>
  <c r="P33" i="1"/>
  <c r="J33" i="1"/>
  <c r="P32" i="1"/>
  <c r="P30" i="1"/>
  <c r="J30" i="1"/>
  <c r="P29" i="1"/>
  <c r="S30" i="1" s="1"/>
  <c r="P23" i="1"/>
  <c r="P22" i="1"/>
  <c r="S23" i="1" s="1"/>
  <c r="P20" i="1"/>
  <c r="P19" i="1"/>
  <c r="S20" i="1" s="1"/>
  <c r="P17" i="1"/>
  <c r="P16" i="1"/>
  <c r="S16" i="1" s="1"/>
  <c r="J23" i="1"/>
  <c r="J20" i="1"/>
  <c r="J17" i="1"/>
  <c r="J6" i="1"/>
  <c r="J5" i="1"/>
  <c r="Z87" i="1" l="1"/>
  <c r="Z88" i="1"/>
  <c r="Z75" i="1"/>
  <c r="Z78" i="1"/>
  <c r="Z84" i="1"/>
  <c r="AD84" i="1" s="1"/>
  <c r="AG84" i="1" s="1"/>
  <c r="Z67" i="1"/>
  <c r="Z63" i="1"/>
  <c r="AD63" i="1" s="1"/>
  <c r="AG63" i="1" s="1"/>
  <c r="Z55" i="1"/>
  <c r="I8" i="1"/>
  <c r="Z37" i="1" s="1"/>
  <c r="Z54" i="1"/>
  <c r="Z57" i="1"/>
  <c r="S19" i="1"/>
  <c r="S17" i="1"/>
  <c r="W19" i="1" s="1"/>
  <c r="S22" i="1"/>
  <c r="W40" i="1"/>
  <c r="S37" i="1"/>
  <c r="S33" i="1"/>
  <c r="W32" i="1" s="1"/>
  <c r="S29" i="1"/>
  <c r="S32" i="1"/>
  <c r="I12" i="1"/>
  <c r="AD75" i="1" l="1"/>
  <c r="AG75" i="1" s="1"/>
  <c r="Z16" i="1"/>
  <c r="Z29" i="1"/>
  <c r="AD54" i="1"/>
  <c r="Z32" i="1"/>
  <c r="Z19" i="1"/>
  <c r="Z40" i="1"/>
  <c r="W16" i="1"/>
  <c r="W29" i="1"/>
</calcChain>
</file>

<file path=xl/sharedStrings.xml><?xml version="1.0" encoding="utf-8"?>
<sst xmlns="http://schemas.openxmlformats.org/spreadsheetml/2006/main" count="237" uniqueCount="57">
  <si>
    <r>
      <rPr>
        <b/>
        <sz val="10"/>
        <rFont val="Trebuchet MS"/>
        <family val="2"/>
      </rPr>
      <t>Ingreso</t>
    </r>
  </si>
  <si>
    <r>
      <rPr>
        <b/>
        <sz val="10"/>
        <rFont val="Trebuchet MS"/>
        <family val="2"/>
      </rPr>
      <t>Historial</t>
    </r>
  </si>
  <si>
    <r>
      <rPr>
        <b/>
        <sz val="10"/>
        <rFont val="Trebuchet MS"/>
        <family val="2"/>
      </rPr>
      <t>Deuda</t>
    </r>
  </si>
  <si>
    <r>
      <rPr>
        <b/>
        <sz val="10"/>
        <rFont val="Trebuchet MS"/>
        <family val="2"/>
      </rPr>
      <t>Otorga</t>
    </r>
  </si>
  <si>
    <r>
      <rPr>
        <sz val="10"/>
        <rFont val="Trebuchet MS"/>
        <family val="2"/>
      </rPr>
      <t>Alto</t>
    </r>
  </si>
  <si>
    <r>
      <rPr>
        <sz val="10"/>
        <rFont val="Trebuchet MS"/>
        <family val="2"/>
      </rPr>
      <t>Bueno</t>
    </r>
  </si>
  <si>
    <r>
      <rPr>
        <sz val="10"/>
        <rFont val="Trebuchet MS"/>
        <family val="2"/>
      </rPr>
      <t>Baja</t>
    </r>
  </si>
  <si>
    <r>
      <rPr>
        <sz val="10"/>
        <rFont val="Trebuchet MS"/>
        <family val="2"/>
      </rPr>
      <t>Sí</t>
    </r>
  </si>
  <si>
    <r>
      <rPr>
        <sz val="10"/>
        <rFont val="Trebuchet MS"/>
        <family val="2"/>
      </rPr>
      <t>Alta</t>
    </r>
  </si>
  <si>
    <r>
      <rPr>
        <sz val="10"/>
        <rFont val="Trebuchet MS"/>
        <family val="2"/>
      </rPr>
      <t>Medio</t>
    </r>
  </si>
  <si>
    <r>
      <rPr>
        <sz val="10"/>
        <rFont val="Trebuchet MS"/>
        <family val="2"/>
      </rPr>
      <t>Bajo</t>
    </r>
  </si>
  <si>
    <r>
      <rPr>
        <sz val="10"/>
        <rFont val="Trebuchet MS"/>
        <family val="2"/>
      </rPr>
      <t>Malo</t>
    </r>
  </si>
  <si>
    <r>
      <rPr>
        <sz val="10"/>
        <rFont val="Trebuchet MS"/>
        <family val="2"/>
      </rPr>
      <t>No</t>
    </r>
  </si>
  <si>
    <t>a) RAIZ</t>
  </si>
  <si>
    <t>SI</t>
  </si>
  <si>
    <t>NO</t>
  </si>
  <si>
    <t>Entropia</t>
  </si>
  <si>
    <t>Pi</t>
  </si>
  <si>
    <t>Gini</t>
  </si>
  <si>
    <t>b)</t>
  </si>
  <si>
    <t xml:space="preserve">Ingreso: </t>
  </si>
  <si>
    <t>ALTO</t>
  </si>
  <si>
    <t>MEDIO</t>
  </si>
  <si>
    <t>BAJO</t>
  </si>
  <si>
    <t>ENTROPIA</t>
  </si>
  <si>
    <t>GINI</t>
  </si>
  <si>
    <t>Pia</t>
  </si>
  <si>
    <t>Pim</t>
  </si>
  <si>
    <t>Pib</t>
  </si>
  <si>
    <t>Entropia Ponderada</t>
  </si>
  <si>
    <t>Gini Ponderado</t>
  </si>
  <si>
    <t>Historia:</t>
  </si>
  <si>
    <t>BUENO</t>
  </si>
  <si>
    <t>MALO</t>
  </si>
  <si>
    <t>Deuda:</t>
  </si>
  <si>
    <t>Alta</t>
  </si>
  <si>
    <t>Baja</t>
  </si>
  <si>
    <t>Gain</t>
  </si>
  <si>
    <t>IG</t>
  </si>
  <si>
    <t>Es la rama mas pura</t>
  </si>
  <si>
    <t>ALTO -&gt; NODO PURO</t>
  </si>
  <si>
    <t>ALTO -&gt; SI</t>
  </si>
  <si>
    <t>Es puro, no toca mas hojas</t>
  </si>
  <si>
    <t>Historia se divide en deuda</t>
  </si>
  <si>
    <t>c) tiene 6 nodos, el error es 0, ya que todos los nodos son puros</t>
  </si>
  <si>
    <t>if Ingreso == "Alto":</t>
  </si>
  <si>
    <t xml:space="preserve">    Otorga = "Si"</t>
  </si>
  <si>
    <t>elif Ingreso == "Medio":</t>
  </si>
  <si>
    <t xml:space="preserve">    if Historial == "Bueno":</t>
  </si>
  <si>
    <t xml:space="preserve">        Otorga = "Si"</t>
  </si>
  <si>
    <t xml:space="preserve">    else:</t>
  </si>
  <si>
    <t xml:space="preserve">        Otorga = "No"</t>
  </si>
  <si>
    <t>elif Ingreso == "Bajo":</t>
  </si>
  <si>
    <t xml:space="preserve">        if Deuda == "Baja":</t>
  </si>
  <si>
    <t xml:space="preserve">            Otorga = "Si"</t>
  </si>
  <si>
    <t xml:space="preserve">        else:</t>
  </si>
  <si>
    <t xml:space="preserve">            Otorga = 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</si>
</sst>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Trebuchet MS"/>
    </font>
    <font>
      <sz val="10"/>
      <color rgb="FF000000"/>
      <name val="Trebuchet MS"/>
      <family val="2"/>
    </font>
    <font>
      <sz val="10"/>
      <name val="Trebuchet MS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7" fillId="0" borderId="0" xfId="0" applyFont="1"/>
    <xf numFmtId="0" fontId="0" fillId="3" borderId="0" xfId="0" applyFill="1"/>
    <xf numFmtId="0" fontId="0" fillId="4" borderId="0" xfId="0" applyFill="1"/>
    <xf numFmtId="0" fontId="7" fillId="4" borderId="0" xfId="0" applyFont="1" applyFill="1"/>
    <xf numFmtId="0" fontId="6" fillId="3" borderId="0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67B60CB-F5C9-4561-AB3F-5C5EDAA62A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2</xdr:row>
      <xdr:rowOff>9525</xdr:rowOff>
    </xdr:from>
    <xdr:to>
      <xdr:col>19</xdr:col>
      <xdr:colOff>200944</xdr:colOff>
      <xdr:row>22</xdr:row>
      <xdr:rowOff>124108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EE587-5AB0-488B-B959-6578FB91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390525"/>
          <a:ext cx="6582694" cy="2029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43</xdr:row>
      <xdr:rowOff>104775</xdr:rowOff>
    </xdr:from>
    <xdr:to>
      <xdr:col>14</xdr:col>
      <xdr:colOff>911</xdr:colOff>
      <xdr:row>54</xdr:row>
      <xdr:rowOff>152699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A18D1A-B10A-4010-83E3-2D19BE37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8296275"/>
          <a:ext cx="6525536" cy="2143424"/>
        </a:xfrm>
        <a:prstGeom prst="rect">
          <a:avLst/>
        </a:prstGeom>
      </xdr:spPr>
    </xdr:pic>
    <xdr:clientData/>
  </xdr:twoCellAnchor>
  <xdr:twoCellAnchor editAs="oneCell">
    <xdr:from>
      <xdr:col>3</xdr:col>
      <xdr:colOff>616323</xdr:colOff>
      <xdr:row>58</xdr:row>
      <xdr:rowOff>89647</xdr:rowOff>
    </xdr:from>
    <xdr:to>
      <xdr:col>13</xdr:col>
      <xdr:colOff>226807</xdr:colOff>
      <xdr:row>76</xdr:row>
      <xdr:rowOff>185389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99D807-8C7D-452C-A749-0C80E352D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2323" y="9043147"/>
          <a:ext cx="7230484" cy="352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D10B-206B-41DF-B37E-32248797DC1D}">
  <sheetPr filterMode="1"/>
  <dimension ref="A1:AG93"/>
  <sheetViews>
    <sheetView tabSelected="1" topLeftCell="A42" zoomScale="85" zoomScaleNormal="85" workbookViewId="0">
      <selection activeCell="J94" sqref="J94"/>
    </sheetView>
  </sheetViews>
  <sheetFormatPr defaultColWidth="11.42578125" defaultRowHeight="15" x14ac:dyDescent="0.25"/>
  <sheetData>
    <row r="1" spans="1:26" x14ac:dyDescent="0.25">
      <c r="A1" s="1"/>
      <c r="C1" s="1" t="s">
        <v>0</v>
      </c>
      <c r="D1" s="1" t="s">
        <v>1</v>
      </c>
      <c r="E1" s="1" t="s">
        <v>2</v>
      </c>
      <c r="F1" s="1" t="s">
        <v>3</v>
      </c>
    </row>
    <row r="2" spans="1:26" hidden="1" x14ac:dyDescent="0.25">
      <c r="A2" s="2"/>
      <c r="C2" s="3" t="s">
        <v>4</v>
      </c>
      <c r="D2" s="3" t="s">
        <v>5</v>
      </c>
      <c r="E2" s="3" t="s">
        <v>6</v>
      </c>
      <c r="F2" s="3" t="s">
        <v>7</v>
      </c>
    </row>
    <row r="3" spans="1:26" hidden="1" x14ac:dyDescent="0.25">
      <c r="A3" s="2"/>
      <c r="C3" s="3" t="s">
        <v>4</v>
      </c>
      <c r="D3" s="3" t="s">
        <v>5</v>
      </c>
      <c r="E3" s="3" t="s">
        <v>8</v>
      </c>
      <c r="F3" s="3" t="s">
        <v>7</v>
      </c>
      <c r="H3" t="s">
        <v>13</v>
      </c>
    </row>
    <row r="4" spans="1:26" hidden="1" x14ac:dyDescent="0.25">
      <c r="A4" s="2"/>
      <c r="C4" s="3" t="s">
        <v>9</v>
      </c>
      <c r="D4" s="3" t="s">
        <v>5</v>
      </c>
      <c r="E4" s="3" t="s">
        <v>6</v>
      </c>
      <c r="F4" s="3" t="s">
        <v>7</v>
      </c>
      <c r="J4" t="s">
        <v>17</v>
      </c>
    </row>
    <row r="5" spans="1:26" x14ac:dyDescent="0.25">
      <c r="A5" s="2"/>
      <c r="C5" s="3" t="s">
        <v>10</v>
      </c>
      <c r="D5" s="3" t="s">
        <v>5</v>
      </c>
      <c r="E5" s="3" t="s">
        <v>6</v>
      </c>
      <c r="F5" s="3" t="s">
        <v>7</v>
      </c>
      <c r="H5" s="4" t="s">
        <v>14</v>
      </c>
      <c r="I5">
        <v>8</v>
      </c>
      <c r="J5">
        <f>I5/(I5+I6)</f>
        <v>0.5714285714285714</v>
      </c>
    </row>
    <row r="6" spans="1:26" x14ac:dyDescent="0.25">
      <c r="A6" s="2"/>
      <c r="C6" s="3" t="s">
        <v>10</v>
      </c>
      <c r="D6" s="3" t="s">
        <v>11</v>
      </c>
      <c r="E6" s="3" t="s">
        <v>6</v>
      </c>
      <c r="F6" s="3" t="s">
        <v>12</v>
      </c>
      <c r="H6" s="4" t="s">
        <v>15</v>
      </c>
      <c r="I6">
        <v>6</v>
      </c>
      <c r="J6">
        <f>I6/(I5+I6)</f>
        <v>0.42857142857142855</v>
      </c>
    </row>
    <row r="7" spans="1:26" hidden="1" x14ac:dyDescent="0.25">
      <c r="A7" s="2"/>
      <c r="C7" s="3" t="s">
        <v>10</v>
      </c>
      <c r="D7" s="3" t="s">
        <v>11</v>
      </c>
      <c r="E7" s="3" t="s">
        <v>8</v>
      </c>
      <c r="F7" s="3" t="s">
        <v>12</v>
      </c>
    </row>
    <row r="8" spans="1:26" hidden="1" x14ac:dyDescent="0.25">
      <c r="A8" s="2"/>
      <c r="C8" s="3" t="s">
        <v>9</v>
      </c>
      <c r="D8" s="3" t="s">
        <v>11</v>
      </c>
      <c r="E8" s="3" t="s">
        <v>8</v>
      </c>
      <c r="F8" s="3" t="s">
        <v>12</v>
      </c>
      <c r="H8" s="4" t="s">
        <v>16</v>
      </c>
      <c r="I8">
        <f>-J5*LOG(J5,2)-J6*LOG(J6,2)</f>
        <v>0.98522813603425163</v>
      </c>
    </row>
    <row r="9" spans="1:26" hidden="1" x14ac:dyDescent="0.25">
      <c r="A9" s="2"/>
      <c r="C9" s="3" t="s">
        <v>4</v>
      </c>
      <c r="D9" s="3" t="s">
        <v>11</v>
      </c>
      <c r="E9" s="3" t="s">
        <v>6</v>
      </c>
      <c r="F9" s="3" t="s">
        <v>7</v>
      </c>
    </row>
    <row r="10" spans="1:26" hidden="1" x14ac:dyDescent="0.25">
      <c r="A10" s="2"/>
      <c r="C10" s="3" t="s">
        <v>9</v>
      </c>
      <c r="D10" s="3" t="s">
        <v>5</v>
      </c>
      <c r="E10" s="3" t="s">
        <v>8</v>
      </c>
      <c r="F10" s="3" t="s">
        <v>7</v>
      </c>
    </row>
    <row r="11" spans="1:26" hidden="1" x14ac:dyDescent="0.25">
      <c r="A11" s="2"/>
      <c r="C11" s="3" t="s">
        <v>10</v>
      </c>
      <c r="D11" s="3" t="s">
        <v>5</v>
      </c>
      <c r="E11" s="3" t="s">
        <v>8</v>
      </c>
      <c r="F11" s="3" t="s">
        <v>12</v>
      </c>
    </row>
    <row r="12" spans="1:26" hidden="1" x14ac:dyDescent="0.25">
      <c r="A12" s="2"/>
      <c r="C12" s="3" t="s">
        <v>4</v>
      </c>
      <c r="D12" s="3" t="s">
        <v>11</v>
      </c>
      <c r="E12" s="3" t="s">
        <v>8</v>
      </c>
      <c r="F12" s="3" t="s">
        <v>7</v>
      </c>
      <c r="H12" s="4" t="s">
        <v>18</v>
      </c>
      <c r="I12">
        <f>1-J5^2-J6^2</f>
        <v>0.48979591836734704</v>
      </c>
    </row>
    <row r="13" spans="1:26" hidden="1" x14ac:dyDescent="0.25">
      <c r="A13" s="2"/>
      <c r="C13" s="3" t="s">
        <v>9</v>
      </c>
      <c r="D13" s="3" t="s">
        <v>11</v>
      </c>
      <c r="E13" s="3" t="s">
        <v>6</v>
      </c>
      <c r="F13" s="3" t="s">
        <v>12</v>
      </c>
    </row>
    <row r="14" spans="1:26" hidden="1" x14ac:dyDescent="0.25">
      <c r="A14" s="2"/>
      <c r="C14" s="3" t="s">
        <v>9</v>
      </c>
      <c r="D14" s="3" t="s">
        <v>5</v>
      </c>
      <c r="E14" s="3" t="s">
        <v>6</v>
      </c>
      <c r="F14" s="3" t="s">
        <v>7</v>
      </c>
      <c r="H14" s="4" t="s">
        <v>19</v>
      </c>
    </row>
    <row r="15" spans="1:26" x14ac:dyDescent="0.25">
      <c r="A15" s="2"/>
      <c r="C15" s="3" t="s">
        <v>10</v>
      </c>
      <c r="D15" s="3" t="s">
        <v>11</v>
      </c>
      <c r="E15" s="3" t="s">
        <v>6</v>
      </c>
      <c r="F15" s="3" t="s">
        <v>12</v>
      </c>
      <c r="I15" s="9" t="s">
        <v>20</v>
      </c>
    </row>
    <row r="16" spans="1:26" x14ac:dyDescent="0.25">
      <c r="I16" t="s">
        <v>21</v>
      </c>
      <c r="J16">
        <v>4</v>
      </c>
      <c r="L16" t="s">
        <v>14</v>
      </c>
      <c r="M16">
        <v>4</v>
      </c>
      <c r="O16" t="s">
        <v>17</v>
      </c>
      <c r="P16">
        <f>M16/(M16+M17)</f>
        <v>1</v>
      </c>
      <c r="R16" t="s">
        <v>24</v>
      </c>
      <c r="S16">
        <f>IF(P16=0,0,-P16*LOG(P16,2))+IF(P17=0,0,-P17*LOG(P17,2))</f>
        <v>0</v>
      </c>
      <c r="U16" t="s">
        <v>29</v>
      </c>
      <c r="W16">
        <f>J17*S16+J20*S19+J23*S22</f>
        <v>0.60459953190786819</v>
      </c>
      <c r="Y16" t="s">
        <v>38</v>
      </c>
      <c r="Z16" s="6">
        <f>I8-W16</f>
        <v>0.38062860412638344</v>
      </c>
    </row>
    <row r="17" spans="9:26" x14ac:dyDescent="0.25">
      <c r="I17" t="s">
        <v>26</v>
      </c>
      <c r="J17">
        <f>J16/(J16+J19+J22)</f>
        <v>0.2857142857142857</v>
      </c>
      <c r="L17" t="s">
        <v>15</v>
      </c>
      <c r="M17">
        <v>0</v>
      </c>
      <c r="O17" t="s">
        <v>17</v>
      </c>
      <c r="P17">
        <f>M17/(M16+M17)</f>
        <v>0</v>
      </c>
      <c r="R17" t="s">
        <v>25</v>
      </c>
      <c r="S17">
        <f>1-P16^2-P17^2</f>
        <v>0</v>
      </c>
    </row>
    <row r="19" spans="9:26" x14ac:dyDescent="0.25">
      <c r="I19" t="s">
        <v>22</v>
      </c>
      <c r="J19">
        <v>5</v>
      </c>
      <c r="L19" t="s">
        <v>14</v>
      </c>
      <c r="M19">
        <v>3</v>
      </c>
      <c r="O19" t="s">
        <v>17</v>
      </c>
      <c r="P19">
        <f>M19/(M19+M20)</f>
        <v>0.6</v>
      </c>
      <c r="R19" t="s">
        <v>24</v>
      </c>
      <c r="S19">
        <f>IF(P19=0,0,-P19*LOG(P19,2))+IF(P20=0,0,-P20*LOG(P20,2))</f>
        <v>0.97095059445466858</v>
      </c>
      <c r="U19" t="s">
        <v>30</v>
      </c>
      <c r="W19">
        <f>J17*S17+J20*S20+J23*S23</f>
        <v>0.28571428571428564</v>
      </c>
      <c r="Y19" t="s">
        <v>37</v>
      </c>
      <c r="Z19" s="6">
        <f>I12-W19</f>
        <v>0.2040816326530614</v>
      </c>
    </row>
    <row r="20" spans="9:26" x14ac:dyDescent="0.25">
      <c r="I20" t="s">
        <v>27</v>
      </c>
      <c r="J20">
        <f>J19/(J16+J19+J22)</f>
        <v>0.35714285714285715</v>
      </c>
      <c r="L20" t="s">
        <v>15</v>
      </c>
      <c r="M20">
        <v>2</v>
      </c>
      <c r="O20" t="s">
        <v>17</v>
      </c>
      <c r="P20">
        <f>M20/(M19+M20)</f>
        <v>0.4</v>
      </c>
      <c r="R20" t="s">
        <v>25</v>
      </c>
      <c r="S20">
        <f>1-P19^2-P20^2</f>
        <v>0.48</v>
      </c>
    </row>
    <row r="21" spans="9:26" x14ac:dyDescent="0.25">
      <c r="V21" t="s">
        <v>39</v>
      </c>
    </row>
    <row r="22" spans="9:26" x14ac:dyDescent="0.25">
      <c r="I22" t="s">
        <v>23</v>
      </c>
      <c r="J22">
        <v>5</v>
      </c>
      <c r="L22" t="s">
        <v>14</v>
      </c>
      <c r="M22">
        <v>1</v>
      </c>
      <c r="O22" t="s">
        <v>17</v>
      </c>
      <c r="P22">
        <f>M22/(M22+M23)</f>
        <v>0.2</v>
      </c>
      <c r="R22" t="s">
        <v>24</v>
      </c>
      <c r="S22">
        <f>IF(P22=0,0,-P22*LOG(P22,2))+IF(P23=0,0,-P23*LOG(P23,2))</f>
        <v>0.72192809488736231</v>
      </c>
    </row>
    <row r="23" spans="9:26" x14ac:dyDescent="0.25">
      <c r="I23" t="s">
        <v>28</v>
      </c>
      <c r="J23">
        <f>J22/(J16+J19+J22)</f>
        <v>0.35714285714285715</v>
      </c>
      <c r="L23" t="s">
        <v>15</v>
      </c>
      <c r="M23">
        <v>4</v>
      </c>
      <c r="O23" t="s">
        <v>17</v>
      </c>
      <c r="P23">
        <f>M23/(M22+M23)</f>
        <v>0.8</v>
      </c>
      <c r="R23" t="s">
        <v>25</v>
      </c>
      <c r="S23">
        <f>1-P22^2-P23^2</f>
        <v>0.31999999999999984</v>
      </c>
    </row>
    <row r="27" spans="9:26" x14ac:dyDescent="0.25">
      <c r="I27" s="5" t="s">
        <v>31</v>
      </c>
    </row>
    <row r="29" spans="9:26" x14ac:dyDescent="0.25">
      <c r="I29" t="s">
        <v>32</v>
      </c>
      <c r="J29">
        <v>7</v>
      </c>
      <c r="L29" t="s">
        <v>14</v>
      </c>
      <c r="M29">
        <v>6</v>
      </c>
      <c r="O29" t="s">
        <v>17</v>
      </c>
      <c r="P29">
        <f>M29/(M29+M30)</f>
        <v>0.8571428571428571</v>
      </c>
      <c r="R29" t="s">
        <v>24</v>
      </c>
      <c r="S29">
        <f>IF(P29=0,0,-P29*LOG(P29,2))+IF(P30=0,0,-P30*LOG(P30,2))</f>
        <v>0.59167277858232747</v>
      </c>
      <c r="U29" t="s">
        <v>29</v>
      </c>
      <c r="W29">
        <f>J30*S29+J33*S32+J36*S35</f>
        <v>0.72739667357447924</v>
      </c>
      <c r="Y29" t="s">
        <v>38</v>
      </c>
      <c r="Z29">
        <f>I8-W29</f>
        <v>0.2578314624597724</v>
      </c>
    </row>
    <row r="30" spans="9:26" x14ac:dyDescent="0.25">
      <c r="I30" t="s">
        <v>26</v>
      </c>
      <c r="J30">
        <f>J29/(J29+J32+J35)</f>
        <v>0.5</v>
      </c>
      <c r="L30" t="s">
        <v>15</v>
      </c>
      <c r="M30">
        <v>1</v>
      </c>
      <c r="O30" t="s">
        <v>17</v>
      </c>
      <c r="P30">
        <f>M30/(M29+M30)</f>
        <v>0.14285714285714285</v>
      </c>
      <c r="R30" t="s">
        <v>25</v>
      </c>
      <c r="S30">
        <f>1-P29^2-P30^2</f>
        <v>0.24489795918367355</v>
      </c>
    </row>
    <row r="32" spans="9:26" x14ac:dyDescent="0.25">
      <c r="I32" t="s">
        <v>33</v>
      </c>
      <c r="J32">
        <v>7</v>
      </c>
      <c r="L32" t="s">
        <v>14</v>
      </c>
      <c r="M32">
        <v>5</v>
      </c>
      <c r="O32" t="s">
        <v>17</v>
      </c>
      <c r="P32">
        <f>M32/(M32+M33)</f>
        <v>0.7142857142857143</v>
      </c>
      <c r="R32" t="s">
        <v>24</v>
      </c>
      <c r="S32">
        <f>IF(P32=0,0,-P32*LOG(P32,2))+IF(P33=0,0,-P33*LOG(P33,2))</f>
        <v>0.863120568566631</v>
      </c>
      <c r="U32" t="s">
        <v>30</v>
      </c>
      <c r="W32">
        <f>J30*S30+J33*S33+J36*S36</f>
        <v>0.32653061224489799</v>
      </c>
      <c r="Y32" t="s">
        <v>37</v>
      </c>
      <c r="Z32">
        <f>I12-W32</f>
        <v>0.16326530612244905</v>
      </c>
    </row>
    <row r="33" spans="9:26" x14ac:dyDescent="0.25">
      <c r="I33" t="s">
        <v>27</v>
      </c>
      <c r="J33">
        <f>J32/(J29+J32+J35)</f>
        <v>0.5</v>
      </c>
      <c r="L33" t="s">
        <v>15</v>
      </c>
      <c r="M33">
        <v>2</v>
      </c>
      <c r="O33" t="s">
        <v>17</v>
      </c>
      <c r="P33">
        <f>M33/(M32+M33)</f>
        <v>0.2857142857142857</v>
      </c>
      <c r="R33" t="s">
        <v>25</v>
      </c>
      <c r="S33">
        <f>1-P32^2-P33^2</f>
        <v>0.40816326530612246</v>
      </c>
    </row>
    <row r="35" spans="9:26" x14ac:dyDescent="0.25">
      <c r="I35" s="5" t="s">
        <v>34</v>
      </c>
    </row>
    <row r="37" spans="9:26" x14ac:dyDescent="0.25">
      <c r="I37" t="s">
        <v>35</v>
      </c>
      <c r="J37">
        <v>6</v>
      </c>
      <c r="L37" t="s">
        <v>14</v>
      </c>
      <c r="M37">
        <v>3</v>
      </c>
      <c r="O37" t="s">
        <v>17</v>
      </c>
      <c r="P37">
        <f>M37/(M37+M38)</f>
        <v>0.5</v>
      </c>
      <c r="R37" t="s">
        <v>24</v>
      </c>
      <c r="S37">
        <f>IF(P37=0,0,-P37*LOG(P37,2))+IF(P38=0,0,-P38*LOG(P38,2))</f>
        <v>1</v>
      </c>
      <c r="U37" t="s">
        <v>29</v>
      </c>
      <c r="W37">
        <f>J38*S37+J41*S40+J44*S43</f>
        <v>0.97396228738569413</v>
      </c>
      <c r="Y37" t="s">
        <v>38</v>
      </c>
      <c r="Z37">
        <f>I8-W37</f>
        <v>1.1265848648557508E-2</v>
      </c>
    </row>
    <row r="38" spans="9:26" x14ac:dyDescent="0.25">
      <c r="I38" t="s">
        <v>26</v>
      </c>
      <c r="J38">
        <f>J37/(J37+J40+J43)</f>
        <v>0.42857142857142855</v>
      </c>
      <c r="L38" t="s">
        <v>15</v>
      </c>
      <c r="M38">
        <v>3</v>
      </c>
      <c r="O38" t="s">
        <v>17</v>
      </c>
      <c r="P38">
        <f>M38/(M37+M38)</f>
        <v>0.5</v>
      </c>
      <c r="R38" t="s">
        <v>25</v>
      </c>
      <c r="S38">
        <f>1-P37^2-P38^2</f>
        <v>0.5</v>
      </c>
    </row>
    <row r="40" spans="9:26" x14ac:dyDescent="0.25">
      <c r="I40" t="s">
        <v>36</v>
      </c>
      <c r="J40">
        <v>8</v>
      </c>
      <c r="L40" t="s">
        <v>14</v>
      </c>
      <c r="M40">
        <v>5</v>
      </c>
      <c r="O40" t="s">
        <v>17</v>
      </c>
      <c r="P40">
        <f>M40/(M40+M41)</f>
        <v>0.625</v>
      </c>
      <c r="R40" t="s">
        <v>24</v>
      </c>
      <c r="S40">
        <f>IF(P40=0,0,-P40*LOG(P40,2))+IF(P41=0,0,-P41*LOG(P41,2))</f>
        <v>0.95443400292496494</v>
      </c>
      <c r="U40" t="s">
        <v>30</v>
      </c>
      <c r="W40">
        <f>J38*S38+J41*S41+J44*S44</f>
        <v>0.4821428571428571</v>
      </c>
      <c r="Y40" t="s">
        <v>37</v>
      </c>
      <c r="Z40" s="8">
        <f>I12-W40</f>
        <v>7.6530612244899432E-3</v>
      </c>
    </row>
    <row r="41" spans="9:26" x14ac:dyDescent="0.25">
      <c r="I41" t="s">
        <v>27</v>
      </c>
      <c r="J41">
        <f>J40/(J37+J40+J43)</f>
        <v>0.5714285714285714</v>
      </c>
      <c r="L41" t="s">
        <v>15</v>
      </c>
      <c r="M41">
        <v>3</v>
      </c>
      <c r="O41" t="s">
        <v>17</v>
      </c>
      <c r="P41">
        <f>M41/(M40+M41)</f>
        <v>0.375</v>
      </c>
      <c r="R41" t="s">
        <v>25</v>
      </c>
      <c r="S41">
        <f>1-P40^2-P41^2</f>
        <v>0.46875</v>
      </c>
    </row>
    <row r="46" spans="9:26" x14ac:dyDescent="0.25">
      <c r="I46" s="7"/>
      <c r="Q46" t="s">
        <v>40</v>
      </c>
      <c r="T46" t="s">
        <v>41</v>
      </c>
    </row>
    <row r="49" spans="16:33" x14ac:dyDescent="0.25">
      <c r="P49" t="s">
        <v>22</v>
      </c>
    </row>
    <row r="50" spans="16:33" x14ac:dyDescent="0.25">
      <c r="Q50" t="str">
        <f t="shared" ref="Q50:R50" si="0">R19</f>
        <v>ENTROPIA</v>
      </c>
      <c r="R50">
        <f t="shared" si="0"/>
        <v>0.97095059445466858</v>
      </c>
    </row>
    <row r="52" spans="16:33" x14ac:dyDescent="0.25">
      <c r="P52" s="6" t="s">
        <v>31</v>
      </c>
    </row>
    <row r="54" spans="16:33" x14ac:dyDescent="0.25">
      <c r="P54" t="s">
        <v>32</v>
      </c>
      <c r="Q54">
        <v>3</v>
      </c>
      <c r="S54" t="s">
        <v>14</v>
      </c>
      <c r="T54">
        <v>3</v>
      </c>
      <c r="V54" t="s">
        <v>17</v>
      </c>
      <c r="W54">
        <f>T54/(T54+T55)</f>
        <v>1</v>
      </c>
      <c r="Y54" t="s">
        <v>24</v>
      </c>
      <c r="Z54">
        <f>IF(W54=0,0,-W54*LOG(W54,2))+IF(W55=0,0,-W55*LOG(W55,2))</f>
        <v>0</v>
      </c>
      <c r="AB54" t="s">
        <v>29</v>
      </c>
      <c r="AD54">
        <f>Q55*Z54+Q58*Z57+Q61*Z60</f>
        <v>0</v>
      </c>
      <c r="AF54" t="s">
        <v>38</v>
      </c>
      <c r="AG54" s="6">
        <f>R50-AD54</f>
        <v>0.97095059445466858</v>
      </c>
    </row>
    <row r="55" spans="16:33" x14ac:dyDescent="0.25">
      <c r="P55" t="s">
        <v>26</v>
      </c>
      <c r="Q55">
        <f>Q54/(Q54+Q57+Q60)</f>
        <v>0.6</v>
      </c>
      <c r="S55" t="s">
        <v>15</v>
      </c>
      <c r="T55">
        <v>0</v>
      </c>
      <c r="V55" t="s">
        <v>17</v>
      </c>
      <c r="W55">
        <f>T55/(T54+T55)</f>
        <v>0</v>
      </c>
      <c r="Y55" t="s">
        <v>25</v>
      </c>
      <c r="Z55">
        <f>1-W54^2-W55^2</f>
        <v>0</v>
      </c>
    </row>
    <row r="57" spans="16:33" x14ac:dyDescent="0.25">
      <c r="P57" t="s">
        <v>33</v>
      </c>
      <c r="Q57">
        <v>2</v>
      </c>
      <c r="S57" t="s">
        <v>14</v>
      </c>
      <c r="T57">
        <v>0</v>
      </c>
      <c r="V57" t="s">
        <v>17</v>
      </c>
      <c r="W57">
        <f>T57/(T57+T58)</f>
        <v>0</v>
      </c>
      <c r="Y57" t="s">
        <v>24</v>
      </c>
      <c r="Z57">
        <f>IF(W57=0,0,-W57*LOG(W57,2))+IF(W58=0,0,-W58*LOG(W58,2))</f>
        <v>0</v>
      </c>
    </row>
    <row r="58" spans="16:33" x14ac:dyDescent="0.25">
      <c r="P58" t="s">
        <v>27</v>
      </c>
      <c r="Q58">
        <f>Q57/(Q54+Q57+Q60)</f>
        <v>0.4</v>
      </c>
      <c r="S58" t="s">
        <v>15</v>
      </c>
      <c r="T58">
        <v>2</v>
      </c>
      <c r="V58" t="s">
        <v>17</v>
      </c>
      <c r="W58">
        <f>T58/(T57+T58)</f>
        <v>1</v>
      </c>
      <c r="Y58" t="s">
        <v>25</v>
      </c>
      <c r="Z58">
        <f>1-W57^2-W58^2</f>
        <v>0</v>
      </c>
    </row>
    <row r="61" spans="16:33" x14ac:dyDescent="0.25">
      <c r="P61" t="s">
        <v>34</v>
      </c>
    </row>
    <row r="63" spans="16:33" x14ac:dyDescent="0.25">
      <c r="P63" t="s">
        <v>35</v>
      </c>
      <c r="Q63">
        <v>2</v>
      </c>
      <c r="S63" t="s">
        <v>14</v>
      </c>
      <c r="T63">
        <v>1</v>
      </c>
      <c r="V63" t="s">
        <v>17</v>
      </c>
      <c r="W63">
        <f>T63/(T63+T64)</f>
        <v>0.5</v>
      </c>
      <c r="Y63" t="s">
        <v>24</v>
      </c>
      <c r="Z63">
        <f>IF(W63=0,0,-W63*LOG(W63,2))+IF(W64=0,0,-W64*LOG(W64,2))</f>
        <v>1</v>
      </c>
      <c r="AB63" t="s">
        <v>29</v>
      </c>
      <c r="AD63">
        <f>Q64*Z63+Q67*Z66+Q70*Z69</f>
        <v>0.95097750043269369</v>
      </c>
      <c r="AF63" t="s">
        <v>38</v>
      </c>
      <c r="AG63">
        <f>R50-AD63</f>
        <v>1.9973094021974891E-2</v>
      </c>
    </row>
    <row r="64" spans="16:33" x14ac:dyDescent="0.25">
      <c r="P64" t="s">
        <v>26</v>
      </c>
      <c r="Q64">
        <f>Q63/(Q63+Q66+Q69)</f>
        <v>0.4</v>
      </c>
      <c r="S64" t="s">
        <v>15</v>
      </c>
      <c r="T64">
        <v>1</v>
      </c>
      <c r="V64" t="s">
        <v>17</v>
      </c>
      <c r="W64">
        <f>T64/(T63+T64)</f>
        <v>0.5</v>
      </c>
      <c r="Y64" t="s">
        <v>25</v>
      </c>
      <c r="Z64">
        <f>1-W63^2-W64^2</f>
        <v>0.5</v>
      </c>
    </row>
    <row r="66" spans="2:33" x14ac:dyDescent="0.25">
      <c r="P66" t="s">
        <v>36</v>
      </c>
      <c r="Q66">
        <v>3</v>
      </c>
      <c r="S66" t="s">
        <v>14</v>
      </c>
      <c r="T66">
        <v>2</v>
      </c>
      <c r="V66" t="s">
        <v>17</v>
      </c>
      <c r="W66">
        <f>T66/(T66+T67)</f>
        <v>0.66666666666666663</v>
      </c>
      <c r="Y66" t="s">
        <v>24</v>
      </c>
      <c r="Z66">
        <f>IF(W66=0,0,-W66*LOG(W66,2))+IF(W67=0,0,-W67*LOG(W67,2))</f>
        <v>0.91829583405448956</v>
      </c>
      <c r="AG66" s="8"/>
    </row>
    <row r="67" spans="2:33" x14ac:dyDescent="0.25">
      <c r="P67" t="s">
        <v>27</v>
      </c>
      <c r="Q67">
        <f>Q66/(Q63+Q66+Q69)</f>
        <v>0.6</v>
      </c>
      <c r="S67" t="s">
        <v>15</v>
      </c>
      <c r="T67">
        <v>1</v>
      </c>
      <c r="V67" t="s">
        <v>17</v>
      </c>
      <c r="W67">
        <f>T67/(T66+T67)</f>
        <v>0.33333333333333331</v>
      </c>
      <c r="Y67" t="s">
        <v>25</v>
      </c>
      <c r="Z67">
        <f>1-W66^2-W67^2</f>
        <v>0.44444444444444448</v>
      </c>
      <c r="AB67" t="s">
        <v>42</v>
      </c>
    </row>
    <row r="70" spans="2:33" x14ac:dyDescent="0.25">
      <c r="P70" t="s">
        <v>23</v>
      </c>
    </row>
    <row r="71" spans="2:33" x14ac:dyDescent="0.25">
      <c r="Q71" t="str">
        <f t="shared" ref="Q71:R71" si="1">R40</f>
        <v>ENTROPIA</v>
      </c>
      <c r="R71">
        <f>$S$22</f>
        <v>0.72192809488736231</v>
      </c>
    </row>
    <row r="73" spans="2:33" x14ac:dyDescent="0.25">
      <c r="P73" s="6" t="s">
        <v>31</v>
      </c>
    </row>
    <row r="75" spans="2:33" x14ac:dyDescent="0.25">
      <c r="P75" t="s">
        <v>32</v>
      </c>
      <c r="Q75">
        <v>2</v>
      </c>
      <c r="S75" t="s">
        <v>14</v>
      </c>
      <c r="T75">
        <v>1</v>
      </c>
      <c r="V75" t="s">
        <v>17</v>
      </c>
      <c r="W75">
        <f>T75/(T75+T76)</f>
        <v>0.5</v>
      </c>
      <c r="Y75" t="s">
        <v>24</v>
      </c>
      <c r="Z75">
        <f>IF(W75=0,0,-W75*LOG(W75,2))+IF(W76=0,0,-W76*LOG(W76,2))</f>
        <v>1</v>
      </c>
      <c r="AB75" t="s">
        <v>29</v>
      </c>
      <c r="AD75">
        <f>Q76*Z75+Q79*Z78+Q82*Z81</f>
        <v>0.4</v>
      </c>
      <c r="AF75" t="s">
        <v>38</v>
      </c>
      <c r="AG75" s="6">
        <f>R71-AD75</f>
        <v>0.32192809488736229</v>
      </c>
    </row>
    <row r="76" spans="2:33" x14ac:dyDescent="0.25">
      <c r="P76" t="s">
        <v>26</v>
      </c>
      <c r="Q76">
        <f>Q75/(Q75+Q78+Q81)</f>
        <v>0.4</v>
      </c>
      <c r="S76" t="s">
        <v>15</v>
      </c>
      <c r="T76">
        <v>1</v>
      </c>
      <c r="V76" t="s">
        <v>17</v>
      </c>
      <c r="W76">
        <f>T76/(T75+T76)</f>
        <v>0.5</v>
      </c>
      <c r="Y76" t="s">
        <v>25</v>
      </c>
      <c r="Z76">
        <f>1-W75^2-W76^2</f>
        <v>0.5</v>
      </c>
    </row>
    <row r="78" spans="2:33" x14ac:dyDescent="0.25">
      <c r="P78" t="s">
        <v>33</v>
      </c>
      <c r="Q78">
        <v>3</v>
      </c>
      <c r="S78" t="s">
        <v>14</v>
      </c>
      <c r="T78">
        <v>0</v>
      </c>
      <c r="V78" t="s">
        <v>17</v>
      </c>
      <c r="W78">
        <f>T78/(T78+T79)</f>
        <v>0</v>
      </c>
      <c r="Y78" t="s">
        <v>24</v>
      </c>
      <c r="Z78">
        <f>IF(W78=0,0,-W78*LOG(W78,2))+IF(W79=0,0,-W79*LOG(W79,2))</f>
        <v>0</v>
      </c>
    </row>
    <row r="79" spans="2:33" x14ac:dyDescent="0.25">
      <c r="B79" t="s">
        <v>45</v>
      </c>
      <c r="P79" t="s">
        <v>27</v>
      </c>
      <c r="Q79">
        <f>Q78/(Q75+Q78+Q81)</f>
        <v>0.6</v>
      </c>
      <c r="S79" t="s">
        <v>15</v>
      </c>
      <c r="T79">
        <v>3</v>
      </c>
      <c r="V79" t="s">
        <v>17</v>
      </c>
      <c r="W79">
        <f>T79/(T78+T79)</f>
        <v>1</v>
      </c>
      <c r="Y79" t="s">
        <v>25</v>
      </c>
      <c r="Z79">
        <f>1-W78^2-W79^2</f>
        <v>0</v>
      </c>
    </row>
    <row r="80" spans="2:33" x14ac:dyDescent="0.25">
      <c r="B80" t="s">
        <v>46</v>
      </c>
    </row>
    <row r="81" spans="2:33" x14ac:dyDescent="0.25">
      <c r="B81" t="s">
        <v>47</v>
      </c>
    </row>
    <row r="82" spans="2:33" x14ac:dyDescent="0.25">
      <c r="B82" t="s">
        <v>48</v>
      </c>
      <c r="P82" t="s">
        <v>34</v>
      </c>
    </row>
    <row r="83" spans="2:33" x14ac:dyDescent="0.25">
      <c r="B83" t="s">
        <v>49</v>
      </c>
    </row>
    <row r="84" spans="2:33" x14ac:dyDescent="0.25">
      <c r="B84" t="s">
        <v>50</v>
      </c>
      <c r="H84" t="s">
        <v>44</v>
      </c>
      <c r="P84" t="s">
        <v>35</v>
      </c>
      <c r="Q84">
        <v>2</v>
      </c>
      <c r="S84" t="s">
        <v>14</v>
      </c>
      <c r="T84">
        <v>0</v>
      </c>
      <c r="V84" t="s">
        <v>17</v>
      </c>
      <c r="W84">
        <f>T84/(T84+T85)</f>
        <v>0</v>
      </c>
      <c r="Y84" t="s">
        <v>24</v>
      </c>
      <c r="Z84">
        <f>IF(W84=0,0,-W84*LOG(W84,2))+IF(W85=0,0,-W85*LOG(W85,2))</f>
        <v>0</v>
      </c>
      <c r="AB84" t="s">
        <v>29</v>
      </c>
      <c r="AD84">
        <f>Q85*Z84+Q88*Z87+Q91*Z90</f>
        <v>0.55097750043269367</v>
      </c>
      <c r="AF84" t="s">
        <v>38</v>
      </c>
      <c r="AG84">
        <f>R71-AD84</f>
        <v>0.17095059445466865</v>
      </c>
    </row>
    <row r="85" spans="2:33" x14ac:dyDescent="0.25">
      <c r="B85" t="s">
        <v>51</v>
      </c>
      <c r="P85" t="s">
        <v>26</v>
      </c>
      <c r="Q85">
        <f>Q84/(Q84+Q87+Q90)</f>
        <v>0.4</v>
      </c>
      <c r="S85" t="s">
        <v>15</v>
      </c>
      <c r="T85">
        <v>2</v>
      </c>
      <c r="V85" t="s">
        <v>17</v>
      </c>
      <c r="W85">
        <f>T85/(T84+T85)</f>
        <v>1</v>
      </c>
      <c r="Y85" t="s">
        <v>25</v>
      </c>
      <c r="Z85">
        <f>1-W84^2-W85^2</f>
        <v>0</v>
      </c>
    </row>
    <row r="86" spans="2:33" x14ac:dyDescent="0.25">
      <c r="B86" t="s">
        <v>52</v>
      </c>
    </row>
    <row r="87" spans="2:33" x14ac:dyDescent="0.25">
      <c r="B87" t="s">
        <v>48</v>
      </c>
      <c r="P87" t="s">
        <v>36</v>
      </c>
      <c r="Q87">
        <v>3</v>
      </c>
      <c r="S87" t="s">
        <v>14</v>
      </c>
      <c r="T87">
        <v>1</v>
      </c>
      <c r="V87" t="s">
        <v>17</v>
      </c>
      <c r="W87">
        <f>T87/(T87+T88)</f>
        <v>0.33333333333333331</v>
      </c>
      <c r="Y87" t="s">
        <v>24</v>
      </c>
      <c r="Z87">
        <f>IF(W87=0,0,-W87*LOG(W87,2))+IF(W88=0,0,-W88*LOG(W88,2))</f>
        <v>0.91829583405448956</v>
      </c>
      <c r="AG87" s="8"/>
    </row>
    <row r="88" spans="2:33" x14ac:dyDescent="0.25">
      <c r="B88" t="s">
        <v>53</v>
      </c>
      <c r="P88" t="s">
        <v>27</v>
      </c>
      <c r="Q88">
        <f>Q87/(Q84+Q87+Q90)</f>
        <v>0.6</v>
      </c>
      <c r="S88" t="s">
        <v>15</v>
      </c>
      <c r="T88">
        <v>2</v>
      </c>
      <c r="V88" t="s">
        <v>17</v>
      </c>
      <c r="W88">
        <f>T88/(T87+T88)</f>
        <v>0.66666666666666663</v>
      </c>
      <c r="Y88" t="s">
        <v>25</v>
      </c>
      <c r="Z88">
        <f>1-W87^2-W88^2</f>
        <v>0.44444444444444442</v>
      </c>
    </row>
    <row r="89" spans="2:33" x14ac:dyDescent="0.25">
      <c r="B89" t="s">
        <v>54</v>
      </c>
    </row>
    <row r="90" spans="2:33" x14ac:dyDescent="0.25">
      <c r="B90" t="s">
        <v>55</v>
      </c>
    </row>
    <row r="91" spans="2:33" x14ac:dyDescent="0.25">
      <c r="B91" t="s">
        <v>56</v>
      </c>
    </row>
    <row r="92" spans="2:33" x14ac:dyDescent="0.25">
      <c r="B92" t="s">
        <v>50</v>
      </c>
      <c r="P92" t="s">
        <v>43</v>
      </c>
    </row>
    <row r="93" spans="2:33" x14ac:dyDescent="0.25">
      <c r="B93" t="s">
        <v>51</v>
      </c>
    </row>
  </sheetData>
  <autoFilter ref="C1:F15" xr:uid="{6781D10B-206B-41DF-B37E-32248797DC1D}">
    <filterColumn colId="0">
      <filters>
        <filter val="Bajo"/>
      </filters>
    </filterColumn>
    <filterColumn colId="2">
      <filters>
        <filter val="Baja"/>
      </filters>
    </filterColumn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Catalano</dc:creator>
  <cp:lastModifiedBy>Andres Rodriguez</cp:lastModifiedBy>
  <dcterms:created xsi:type="dcterms:W3CDTF">2026-06-06T12:40:39Z</dcterms:created>
  <dcterms:modified xsi:type="dcterms:W3CDTF">2026-06-11T06:58:48Z</dcterms:modified>
</cp:coreProperties>
</file>