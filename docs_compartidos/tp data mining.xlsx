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C:\Users\hola\Desktop\maestria\introduccion data mining\trabajos practicos\tp\"/>
    </mc:Choice>
  </mc:AlternateContent>
  <xr:revisionPtr revIDLastSave="0" documentId="13_ncr:1_{40A0A7AB-B1EF-4655-A033-5576AE0D4488}" xr6:coauthVersionLast="47" xr6:coauthVersionMax="47" xr10:uidLastSave="{00000000-0000-0000-0000-000000000000}"/>
  <bookViews>
    <workbookView xWindow="-110" yWindow="-110" windowWidth="19420" windowHeight="10420" activeTab="5" xr2:uid="{D53BDA35-6FBA-44CF-A45D-832AF2302611}"/>
  </bookViews>
  <sheets>
    <sheet name="Ejercicio 1" sheetId="1" r:id="rId1"/>
    <sheet name="Ejercicio 2" sheetId="2" r:id="rId2"/>
    <sheet name="Ejercicio 3" sheetId="3" r:id="rId3"/>
    <sheet name="Ejercicio 4" sheetId="4" r:id="rId4"/>
    <sheet name="Ejercicio 5" sheetId="5" r:id="rId5"/>
    <sheet name="Ejercicio 6" sheetId="6" r:id="rId6"/>
  </sheets>
  <definedNames>
    <definedName name="_xlnm._FilterDatabase" localSheetId="0" hidden="1">'Ejercicio 1'!$A$2:$J$24</definedName>
    <definedName name="_xlnm._FilterDatabase" localSheetId="1" hidden="1">'Ejercicio 2'!$A$2:$E$16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5" i="6" l="1"/>
  <c r="H13" i="6"/>
  <c r="C14" i="6"/>
  <c r="D8" i="6"/>
  <c r="D9" i="6"/>
  <c r="D10" i="6"/>
  <c r="D7" i="6"/>
  <c r="C12" i="6"/>
  <c r="D3" i="6"/>
  <c r="F4" i="4"/>
  <c r="F5" i="4"/>
  <c r="F6" i="4"/>
  <c r="H3" i="4"/>
  <c r="F7" i="4"/>
  <c r="F3" i="4"/>
  <c r="B8" i="4"/>
  <c r="F8" i="4" s="1"/>
  <c r="C6" i="4"/>
  <c r="B6" i="4"/>
  <c r="D5" i="4"/>
  <c r="D4" i="4"/>
  <c r="K3" i="3"/>
  <c r="K4" i="3"/>
  <c r="K5" i="3"/>
  <c r="K6" i="3"/>
  <c r="L6" i="3" s="1"/>
  <c r="K7" i="3"/>
  <c r="K8" i="3"/>
  <c r="K9" i="3"/>
  <c r="K10" i="3"/>
  <c r="L10" i="3" s="1"/>
  <c r="K2" i="3"/>
  <c r="H3" i="3"/>
  <c r="H4" i="3"/>
  <c r="H5" i="3"/>
  <c r="H6" i="3"/>
  <c r="H7" i="3"/>
  <c r="H8" i="3"/>
  <c r="H9" i="3"/>
  <c r="H10" i="3"/>
  <c r="H2" i="3"/>
  <c r="J10" i="3"/>
  <c r="J9" i="3"/>
  <c r="J8" i="3"/>
  <c r="J7" i="3"/>
  <c r="J6" i="3"/>
  <c r="J5" i="3"/>
  <c r="J4" i="3"/>
  <c r="J3" i="3"/>
  <c r="J2" i="3"/>
  <c r="I3" i="3"/>
  <c r="I4" i="3"/>
  <c r="I5" i="3"/>
  <c r="I6" i="3"/>
  <c r="I7" i="3"/>
  <c r="I8" i="3"/>
  <c r="I9" i="3"/>
  <c r="I10" i="3"/>
  <c r="I2" i="3"/>
  <c r="G3" i="3"/>
  <c r="G4" i="3"/>
  <c r="G5" i="3"/>
  <c r="G6" i="3"/>
  <c r="G7" i="3"/>
  <c r="G8" i="3"/>
  <c r="G9" i="3"/>
  <c r="G10" i="3"/>
  <c r="G2" i="3"/>
  <c r="F3" i="3"/>
  <c r="F4" i="3"/>
  <c r="F5" i="3"/>
  <c r="F6" i="3"/>
  <c r="F7" i="3"/>
  <c r="F8" i="3"/>
  <c r="F9" i="3"/>
  <c r="F10" i="3"/>
  <c r="F2" i="3"/>
  <c r="E3" i="3"/>
  <c r="E4" i="3"/>
  <c r="E5" i="3"/>
  <c r="E6" i="3"/>
  <c r="E7" i="3"/>
  <c r="E8" i="3"/>
  <c r="E9" i="3"/>
  <c r="E10" i="3"/>
  <c r="E2" i="3"/>
  <c r="B25" i="1"/>
  <c r="D57" i="2"/>
  <c r="B57" i="2"/>
  <c r="D56" i="2"/>
  <c r="B56" i="2"/>
  <c r="D64" i="2"/>
  <c r="D63" i="2"/>
  <c r="B64" i="2"/>
  <c r="B47" i="2"/>
  <c r="B63" i="2"/>
  <c r="B38" i="2"/>
  <c r="D48" i="2"/>
  <c r="D47" i="2"/>
  <c r="B48" i="2"/>
  <c r="D23" i="2"/>
  <c r="D22" i="2"/>
  <c r="D39" i="2"/>
  <c r="D38" i="2"/>
  <c r="B39" i="2"/>
  <c r="D30" i="2"/>
  <c r="D29" i="2"/>
  <c r="B30" i="2"/>
  <c r="B29" i="2"/>
  <c r="F23" i="2"/>
  <c r="F22" i="2"/>
  <c r="B22" i="2"/>
  <c r="B23" i="2"/>
  <c r="O31" i="1"/>
  <c r="K40" i="1"/>
  <c r="I40" i="1"/>
  <c r="K39" i="1"/>
  <c r="I39" i="1"/>
  <c r="G40" i="1"/>
  <c r="G39" i="1"/>
  <c r="G31" i="1"/>
  <c r="I31" i="1"/>
  <c r="I32" i="1"/>
  <c r="G32" i="1"/>
  <c r="I22" i="1"/>
  <c r="G23" i="1"/>
  <c r="I23" i="1"/>
  <c r="G22" i="1"/>
  <c r="B22" i="1"/>
  <c r="B21" i="1"/>
  <c r="H6" i="4" l="1"/>
  <c r="H7" i="4"/>
  <c r="D6" i="4"/>
  <c r="H8" i="4" s="1"/>
  <c r="L9" i="3"/>
  <c r="L8" i="3"/>
  <c r="L4" i="3"/>
  <c r="L5" i="3"/>
  <c r="L2" i="3"/>
  <c r="L7" i="3"/>
  <c r="L3" i="3"/>
  <c r="B58" i="2"/>
  <c r="C57" i="2" s="1"/>
  <c r="D58" i="2"/>
  <c r="E57" i="2" s="1"/>
  <c r="B65" i="2"/>
  <c r="C63" i="2" s="1"/>
  <c r="D65" i="2"/>
  <c r="E63" i="2" s="1"/>
  <c r="D49" i="2"/>
  <c r="E48" i="2" s="1"/>
  <c r="B49" i="2"/>
  <c r="C47" i="2" s="1"/>
  <c r="B24" i="2"/>
  <c r="C22" i="2" s="1"/>
  <c r="F24" i="2"/>
  <c r="G22" i="2" s="1"/>
  <c r="D24" i="2"/>
  <c r="E23" i="2" s="1"/>
  <c r="B31" i="2"/>
  <c r="C29" i="2" s="1"/>
  <c r="D31" i="2"/>
  <c r="E29" i="2" s="1"/>
  <c r="B40" i="2"/>
  <c r="C39" i="2" s="1"/>
  <c r="D40" i="2"/>
  <c r="E38" i="2" s="1"/>
  <c r="I24" i="1"/>
  <c r="J22" i="1" s="1"/>
  <c r="J25" i="1" s="1"/>
  <c r="L40" i="1"/>
  <c r="J23" i="1"/>
  <c r="K41" i="1"/>
  <c r="L39" i="1" s="1"/>
  <c r="L43" i="1" s="1"/>
  <c r="G41" i="1"/>
  <c r="H39" i="1" s="1"/>
  <c r="I41" i="1"/>
  <c r="J39" i="1" s="1"/>
  <c r="I33" i="1"/>
  <c r="J31" i="1" s="1"/>
  <c r="G33" i="1"/>
  <c r="J24" i="1"/>
  <c r="G24" i="1"/>
  <c r="B23" i="1"/>
  <c r="H9" i="4" l="1"/>
  <c r="H10" i="4" s="1"/>
  <c r="H12" i="4" s="1"/>
  <c r="E56" i="2"/>
  <c r="C56" i="2"/>
  <c r="E64" i="2"/>
  <c r="E66" i="2" s="1"/>
  <c r="C64" i="2"/>
  <c r="C66" i="2" s="1"/>
  <c r="E47" i="2"/>
  <c r="E50" i="2" s="1"/>
  <c r="C48" i="2"/>
  <c r="C49" i="2" s="1"/>
  <c r="G23" i="2"/>
  <c r="G25" i="2" s="1"/>
  <c r="E22" i="2"/>
  <c r="E25" i="2" s="1"/>
  <c r="C24" i="2"/>
  <c r="C25" i="2"/>
  <c r="E30" i="2"/>
  <c r="E32" i="2" s="1"/>
  <c r="E39" i="2"/>
  <c r="E40" i="2" s="1"/>
  <c r="C38" i="2"/>
  <c r="C41" i="2" s="1"/>
  <c r="C30" i="2"/>
  <c r="C31" i="2" s="1"/>
  <c r="H32" i="1"/>
  <c r="J26" i="1"/>
  <c r="L42" i="1"/>
  <c r="L41" i="1"/>
  <c r="J32" i="1"/>
  <c r="J33" i="1" s="1"/>
  <c r="J40" i="1"/>
  <c r="J41" i="1" s="1"/>
  <c r="H40" i="1"/>
  <c r="H42" i="1" s="1"/>
  <c r="H23" i="1"/>
  <c r="H31" i="1"/>
  <c r="H41" i="1"/>
  <c r="H22" i="1"/>
  <c r="H26" i="1" s="1"/>
  <c r="K26" i="1" s="1"/>
  <c r="Q19" i="1" s="1"/>
  <c r="C21" i="1"/>
  <c r="C22" i="1"/>
  <c r="E24" i="2" l="1"/>
  <c r="C65" i="2"/>
  <c r="E49" i="2"/>
  <c r="E65" i="2"/>
  <c r="C58" i="2"/>
  <c r="C59" i="2"/>
  <c r="E59" i="2"/>
  <c r="E58" i="2"/>
  <c r="G24" i="2"/>
  <c r="C50" i="2"/>
  <c r="C51" i="2" s="1"/>
  <c r="C52" i="2" s="1"/>
  <c r="E41" i="2"/>
  <c r="E31" i="2"/>
  <c r="C32" i="2"/>
  <c r="C40" i="2"/>
  <c r="H43" i="1"/>
  <c r="J35" i="1"/>
  <c r="J43" i="1"/>
  <c r="H35" i="1"/>
  <c r="J42" i="1"/>
  <c r="M42" i="1" s="1"/>
  <c r="O21" i="1" s="1"/>
  <c r="J34" i="1"/>
  <c r="H24" i="1"/>
  <c r="H25" i="1"/>
  <c r="K25" i="1" s="1"/>
  <c r="O19" i="1" s="1"/>
  <c r="H33" i="1"/>
  <c r="H34" i="1"/>
  <c r="K34" i="1" s="1"/>
  <c r="O20" i="1" s="1"/>
  <c r="B26" i="1"/>
  <c r="C23" i="1"/>
  <c r="C33" i="2" l="1"/>
  <c r="C34" i="2" s="1"/>
  <c r="C42" i="2"/>
  <c r="C43" i="2" s="1"/>
  <c r="R19" i="1"/>
  <c r="M43" i="1"/>
  <c r="Q21" i="1" s="1"/>
  <c r="R21" i="1" s="1"/>
  <c r="P20" i="1"/>
  <c r="P19" i="1"/>
  <c r="P21" i="1"/>
  <c r="K35" i="1"/>
  <c r="Q20" i="1" s="1"/>
  <c r="R20" i="1" s="1"/>
</calcChain>
</file>

<file path=xl/sharedStrings.xml><?xml version="1.0" encoding="utf-8"?>
<sst xmlns="http://schemas.openxmlformats.org/spreadsheetml/2006/main" count="405" uniqueCount="174">
  <si>
    <r>
      <rPr>
        <b/>
        <sz val="10"/>
        <rFont val="Trebuchet MS"/>
        <family val="2"/>
      </rPr>
      <t>N.º</t>
    </r>
  </si>
  <si>
    <r>
      <rPr>
        <b/>
        <sz val="10"/>
        <rFont val="Trebuchet MS"/>
        <family val="2"/>
      </rPr>
      <t>Ingreso</t>
    </r>
  </si>
  <si>
    <r>
      <rPr>
        <b/>
        <sz val="10"/>
        <rFont val="Trebuchet MS"/>
        <family val="2"/>
      </rPr>
      <t>Historial</t>
    </r>
  </si>
  <si>
    <r>
      <rPr>
        <b/>
        <sz val="10"/>
        <rFont val="Trebuchet MS"/>
        <family val="2"/>
      </rPr>
      <t>Otorga</t>
    </r>
  </si>
  <si>
    <r>
      <rPr>
        <sz val="10"/>
        <rFont val="Trebuchet MS"/>
        <family val="2"/>
      </rPr>
      <t>Alto</t>
    </r>
  </si>
  <si>
    <r>
      <rPr>
        <sz val="10"/>
        <rFont val="Trebuchet MS"/>
        <family val="2"/>
      </rPr>
      <t>Bueno</t>
    </r>
  </si>
  <si>
    <r>
      <rPr>
        <sz val="10"/>
        <rFont val="Trebuchet MS"/>
        <family val="2"/>
      </rPr>
      <t>Baja</t>
    </r>
  </si>
  <si>
    <r>
      <rPr>
        <sz val="10"/>
        <rFont val="Trebuchet MS"/>
        <family val="2"/>
      </rPr>
      <t>Sí</t>
    </r>
  </si>
  <si>
    <r>
      <rPr>
        <sz val="10"/>
        <rFont val="Trebuchet MS"/>
        <family val="2"/>
      </rPr>
      <t>Alta</t>
    </r>
  </si>
  <si>
    <r>
      <rPr>
        <sz val="10"/>
        <rFont val="Trebuchet MS"/>
        <family val="2"/>
      </rPr>
      <t>Medio</t>
    </r>
  </si>
  <si>
    <r>
      <rPr>
        <sz val="10"/>
        <rFont val="Trebuchet MS"/>
        <family val="2"/>
      </rPr>
      <t>Bajo</t>
    </r>
  </si>
  <si>
    <r>
      <rPr>
        <sz val="10"/>
        <rFont val="Trebuchet MS"/>
        <family val="2"/>
      </rPr>
      <t>Malo</t>
    </r>
  </si>
  <si>
    <r>
      <rPr>
        <sz val="10"/>
        <rFont val="Trebuchet MS"/>
        <family val="2"/>
      </rPr>
      <t>No</t>
    </r>
  </si>
  <si>
    <t>SI</t>
  </si>
  <si>
    <t>NO</t>
  </si>
  <si>
    <t>Clase</t>
  </si>
  <si>
    <t>Bueno</t>
  </si>
  <si>
    <t>Malo</t>
  </si>
  <si>
    <t>Alta</t>
  </si>
  <si>
    <t>Baja</t>
  </si>
  <si>
    <t>Medio</t>
  </si>
  <si>
    <t>Bajo</t>
  </si>
  <si>
    <t>a)</t>
  </si>
  <si>
    <t>Entropia inicial</t>
  </si>
  <si>
    <t>cantidad</t>
  </si>
  <si>
    <t>proporcion</t>
  </si>
  <si>
    <t>total</t>
  </si>
  <si>
    <t>Gini inicial</t>
  </si>
  <si>
    <t>HISTORIAL</t>
  </si>
  <si>
    <t>prop</t>
  </si>
  <si>
    <t>entropia bueno</t>
  </si>
  <si>
    <t>entropia malo</t>
  </si>
  <si>
    <t>Entopia</t>
  </si>
  <si>
    <t>Deuda</t>
  </si>
  <si>
    <t>entropia Alta</t>
  </si>
  <si>
    <t>entropia Malo</t>
  </si>
  <si>
    <t>Ingreso</t>
  </si>
  <si>
    <t>Alto</t>
  </si>
  <si>
    <t>entropia Bajo</t>
  </si>
  <si>
    <t>Gini</t>
  </si>
  <si>
    <t>Gini Malo</t>
  </si>
  <si>
    <t>Gini Bueno</t>
  </si>
  <si>
    <t>Gini alta</t>
  </si>
  <si>
    <t>Gini baja</t>
  </si>
  <si>
    <t>Gini alto</t>
  </si>
  <si>
    <t>Gini medio</t>
  </si>
  <si>
    <t>Gini Bajo</t>
  </si>
  <si>
    <t>Historial</t>
  </si>
  <si>
    <t>Variable</t>
  </si>
  <si>
    <t>Entropia ponderada</t>
  </si>
  <si>
    <t>Gini ponderado</t>
  </si>
  <si>
    <t>Ganancia Informacion</t>
  </si>
  <si>
    <t>Reduccion de impureza</t>
  </si>
  <si>
    <t>b) y c)</t>
  </si>
  <si>
    <t>d) ambos criterios buscan encontrar la partición que mejor separa las clases (Sí y No). La ganancia de información selecciona el atributo que más reduce la entropía, mientras que el índice de Gini selecciona el que más reduce la impureza. En este conjunto de datos, el atributo Ingreso es el que logra la mayor reducción tanto de la entropía como de la impureza de Gini, por lo que ambos métodos coinciden en elegirlo como nodo raíz del árbol de decisión.</t>
  </si>
  <si>
    <t>Ejercicio 1. Medidas de impureza y selección del atributo raíz</t>
  </si>
  <si>
    <t>Nodo Raiz</t>
  </si>
  <si>
    <t>Ingreso = nodo raiz</t>
  </si>
  <si>
    <t>puro</t>
  </si>
  <si>
    <t>impuro</t>
  </si>
  <si>
    <t>Historial/ingreso medio</t>
  </si>
  <si>
    <t>Historial/ingreso bajo</t>
  </si>
  <si>
    <t>entropia ato</t>
  </si>
  <si>
    <t>entropia medio</t>
  </si>
  <si>
    <t>entropia bajo</t>
  </si>
  <si>
    <t>entropia ponderada</t>
  </si>
  <si>
    <t>ganancia</t>
  </si>
  <si>
    <t>Deuda/ingreso bajo</t>
  </si>
  <si>
    <t>entropia alta</t>
  </si>
  <si>
    <t xml:space="preserve">ingreo medio separa perfectamente </t>
  </si>
  <si>
    <t>entropia Baja</t>
  </si>
  <si>
    <t>Deuda/Historial bueno/ingreso bajo</t>
  </si>
  <si>
    <t>nodo puro</t>
  </si>
  <si>
    <t>es un nodo puro</t>
  </si>
  <si>
    <t>arbol</t>
  </si>
  <si>
    <t>ingresos</t>
  </si>
  <si>
    <t>14=instancias</t>
  </si>
  <si>
    <t>instanias=4</t>
  </si>
  <si>
    <t>si=4 , no=0</t>
  </si>
  <si>
    <t>instancias=5</t>
  </si>
  <si>
    <t>si=3,no=2</t>
  </si>
  <si>
    <t>instancias=3</t>
  </si>
  <si>
    <t>si=3,no=0</t>
  </si>
  <si>
    <t>instancias=2</t>
  </si>
  <si>
    <t>si=0,no=2</t>
  </si>
  <si>
    <t>Si</t>
  </si>
  <si>
    <t>No</t>
  </si>
  <si>
    <t>instancias =5</t>
  </si>
  <si>
    <t>si=8,no=6</t>
  </si>
  <si>
    <t>si=1,no=4</t>
  </si>
  <si>
    <t>si=0,no=3</t>
  </si>
  <si>
    <t>instancias =2</t>
  </si>
  <si>
    <t>si=1,no=1</t>
  </si>
  <si>
    <t>instancias =1</t>
  </si>
  <si>
    <t>a)Arbol</t>
  </si>
  <si>
    <t>si=1,n=0</t>
  </si>
  <si>
    <t>Medida</t>
  </si>
  <si>
    <t>Valor</t>
  </si>
  <si>
    <t>Evade</t>
  </si>
  <si>
    <t>Sí</t>
  </si>
  <si>
    <t>puntos medios</t>
  </si>
  <si>
    <t>60 - 70</t>
  </si>
  <si>
    <t>70 - 80</t>
  </si>
  <si>
    <t>80 - 95</t>
  </si>
  <si>
    <t>95 - 100</t>
  </si>
  <si>
    <t>100 - 110</t>
  </si>
  <si>
    <t>110 - 115</t>
  </si>
  <si>
    <t>115 - 120</t>
  </si>
  <si>
    <t>120 - 130</t>
  </si>
  <si>
    <t>130 - 140</t>
  </si>
  <si>
    <t>Intervalos</t>
  </si>
  <si>
    <t>Si (&lt;= )</t>
  </si>
  <si>
    <t>No(&lt;= )</t>
  </si>
  <si>
    <t>Si (&gt;)</t>
  </si>
  <si>
    <t>No(&gt;)</t>
  </si>
  <si>
    <t>Gini (&gt;)</t>
  </si>
  <si>
    <t>Gini (&lt;=)</t>
  </si>
  <si>
    <t>Matriz de confusion</t>
  </si>
  <si>
    <t>Clase real / Clase predicha</t>
  </si>
  <si>
    <t>Total</t>
  </si>
  <si>
    <t>Enfermo(+)</t>
  </si>
  <si>
    <t>Sano(-)</t>
  </si>
  <si>
    <t>Enfermo(+) predicho</t>
  </si>
  <si>
    <t>Sano(-) predicho</t>
  </si>
  <si>
    <t xml:space="preserve">Verdaderos Positivos (VP) </t>
  </si>
  <si>
    <t xml:space="preserve">Verdaderos Negativos (VN) </t>
  </si>
  <si>
    <t xml:space="preserve">Falsos Positivos (FP) </t>
  </si>
  <si>
    <t>Falsos Negativos (FN)</t>
  </si>
  <si>
    <t xml:space="preserve">Total de observaciones (N) </t>
  </si>
  <si>
    <t>b)</t>
  </si>
  <si>
    <t>accuracy</t>
  </si>
  <si>
    <t>error</t>
  </si>
  <si>
    <t>precision</t>
  </si>
  <si>
    <t>recall</t>
  </si>
  <si>
    <t>especificidad</t>
  </si>
  <si>
    <t>medida</t>
  </si>
  <si>
    <t>valor</t>
  </si>
  <si>
    <t>F1</t>
  </si>
  <si>
    <t>c)</t>
  </si>
  <si>
    <t>Kappa -Cohen</t>
  </si>
  <si>
    <t>P0</t>
  </si>
  <si>
    <t>Calculo Pe</t>
  </si>
  <si>
    <t>proporciones</t>
  </si>
  <si>
    <t>enfermos reales</t>
  </si>
  <si>
    <t>sanos reales</t>
  </si>
  <si>
    <t>efermos predichos</t>
  </si>
  <si>
    <t>sanos predichos</t>
  </si>
  <si>
    <t>clases</t>
  </si>
  <si>
    <t>Pe</t>
  </si>
  <si>
    <t>kappa</t>
  </si>
  <si>
    <t>Nodos hoja</t>
  </si>
  <si>
    <t>Error de entrenamiento</t>
  </si>
  <si>
    <t>Error de validacion</t>
  </si>
  <si>
    <t>b</t>
  </si>
  <si>
    <t>hoja</t>
  </si>
  <si>
    <t>Nodo hoja</t>
  </si>
  <si>
    <t>Instancias "+"</t>
  </si>
  <si>
    <t xml:space="preserve">L1 </t>
  </si>
  <si>
    <t xml:space="preserve">L2 </t>
  </si>
  <si>
    <t xml:space="preserve">L3 </t>
  </si>
  <si>
    <t xml:space="preserve">L4 </t>
  </si>
  <si>
    <t>Instancias "-"</t>
  </si>
  <si>
    <t>subarbol</t>
  </si>
  <si>
    <t>instancias "+"</t>
  </si>
  <si>
    <t>instancias "-"</t>
  </si>
  <si>
    <t>total instancias</t>
  </si>
  <si>
    <t>nodo antes de la division</t>
  </si>
  <si>
    <t>error inicial</t>
  </si>
  <si>
    <t>clase minoritaria</t>
  </si>
  <si>
    <t>error despues de la division</t>
  </si>
  <si>
    <t>error pesimista inicial</t>
  </si>
  <si>
    <t>error pesimista despues de la division</t>
  </si>
  <si>
    <t>k</t>
  </si>
  <si>
    <t>hojas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</si>
</sst>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0"/>
    <numFmt numFmtId="165" formatCode="_-* #,##0.0000_-;\-* #,##0.0000_-;_-* &quot;-&quot;??_-;_-@_-"/>
  </numFmts>
  <fonts count="10" x14ac:knownFonts="1">
    <font>
      <sz val="11"/>
      <color theme="1"/>
      <name val="Calibri"/>
      <family val="2"/>
      <scheme val="minor"/>
    </font>
    <font>
      <sz val="10"/>
      <color rgb="FF000000"/>
      <name val="Times New Roman"/>
      <charset val="204"/>
    </font>
    <font>
      <b/>
      <sz val="10"/>
      <name val="Trebuchet MS"/>
    </font>
    <font>
      <sz val="10"/>
      <color rgb="FF000000"/>
      <name val="Trebuchet MS"/>
      <family val="2"/>
    </font>
    <font>
      <sz val="10"/>
      <name val="Trebuchet MS"/>
    </font>
    <font>
      <sz val="10"/>
      <name val="Trebuchet MS"/>
      <family val="2"/>
    </font>
    <font>
      <b/>
      <sz val="10"/>
      <name val="Trebuchet MS"/>
      <family val="2"/>
    </font>
    <font>
      <sz val="11"/>
      <color theme="1"/>
      <name val="Calibri"/>
      <family val="2"/>
      <scheme val="minor"/>
    </font>
    <font>
      <b/>
      <sz val="11"/>
      <color theme="1"/>
      <name val="Calibri"/>
      <family val="2"/>
      <scheme val="minor"/>
    </font>
    <font>
      <sz val="12"/>
      <color theme="1"/>
      <name val="Arial"/>
      <family val="2"/>
    </font>
  </fonts>
  <fills count="4">
    <fill>
      <patternFill patternType="none"/>
    </fill>
    <fill>
      <patternFill patternType="gray125"/>
    </fill>
    <fill>
      <patternFill patternType="solid">
        <fgColor rgb="FFD9E1F3"/>
      </patternFill>
    </fill>
    <fill>
      <patternFill patternType="solid">
        <fgColor theme="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indexed="64"/>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4">
    <xf numFmtId="0" fontId="0" fillId="0" borderId="0"/>
    <xf numFmtId="0" fontId="1" fillId="0" borderId="0"/>
    <xf numFmtId="43" fontId="7" fillId="0" borderId="0" applyFont="0" applyFill="0" applyBorder="0" applyAlignment="0" applyProtection="0"/>
    <xf numFmtId="9" fontId="7" fillId="0" borderId="0" applyFont="0" applyFill="0" applyBorder="0" applyAlignment="0" applyProtection="0"/>
  </cellStyleXfs>
  <cellXfs count="80">
    <xf numFmtId="0" fontId="0" fillId="0" borderId="0" xfId="0"/>
    <xf numFmtId="0" fontId="2" fillId="2" borderId="1" xfId="1" applyFont="1" applyFill="1" applyBorder="1" applyAlignment="1">
      <alignment horizontal="center" vertical="top" wrapText="1"/>
    </xf>
    <xf numFmtId="1" fontId="3" fillId="0" borderId="1" xfId="1" applyNumberFormat="1" applyFont="1" applyBorder="1" applyAlignment="1">
      <alignment horizontal="center" vertical="top" shrinkToFit="1"/>
    </xf>
    <xf numFmtId="0" fontId="4" fillId="0" borderId="1" xfId="1" applyFont="1" applyBorder="1" applyAlignment="1">
      <alignment horizontal="center" vertical="top" wrapText="1"/>
    </xf>
    <xf numFmtId="0" fontId="0" fillId="0" borderId="1" xfId="0" applyBorder="1"/>
    <xf numFmtId="0" fontId="5" fillId="0" borderId="0" xfId="1" applyFont="1" applyAlignment="1">
      <alignment horizontal="center" vertical="top" wrapText="1"/>
    </xf>
    <xf numFmtId="1" fontId="3" fillId="0" borderId="0" xfId="1" applyNumberFormat="1" applyFont="1" applyAlignment="1">
      <alignment horizontal="center" vertical="top" shrinkToFit="1"/>
    </xf>
    <xf numFmtId="0" fontId="4" fillId="0" borderId="0" xfId="1" applyFont="1" applyAlignment="1">
      <alignment horizontal="center" vertical="top" wrapText="1"/>
    </xf>
    <xf numFmtId="0" fontId="0" fillId="0" borderId="2" xfId="0" applyBorder="1"/>
    <xf numFmtId="0" fontId="0" fillId="0" borderId="3"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 xfId="0" applyBorder="1" applyAlignment="1">
      <alignment wrapText="1"/>
    </xf>
    <xf numFmtId="0" fontId="0" fillId="0" borderId="0" xfId="0" applyAlignment="1">
      <alignment horizontal="center"/>
    </xf>
    <xf numFmtId="0" fontId="6" fillId="2" borderId="1" xfId="1" applyFont="1" applyFill="1" applyBorder="1" applyAlignment="1">
      <alignment horizontal="center" vertical="top" wrapText="1"/>
    </xf>
    <xf numFmtId="0" fontId="0" fillId="0" borderId="10" xfId="0" applyBorder="1"/>
    <xf numFmtId="0" fontId="4" fillId="0" borderId="3" xfId="1" applyFont="1" applyBorder="1" applyAlignment="1">
      <alignment horizontal="center" vertical="top" wrapText="1"/>
    </xf>
    <xf numFmtId="0" fontId="4" fillId="0" borderId="2" xfId="1" applyFont="1" applyBorder="1" applyAlignment="1">
      <alignment horizontal="center" vertical="top" wrapText="1"/>
    </xf>
    <xf numFmtId="0" fontId="0" fillId="0" borderId="4" xfId="0" applyBorder="1"/>
    <xf numFmtId="0" fontId="4" fillId="0" borderId="5" xfId="1" applyFont="1" applyBorder="1" applyAlignment="1">
      <alignment horizontal="center" vertical="top" wrapText="1"/>
    </xf>
    <xf numFmtId="0" fontId="4" fillId="0" borderId="11" xfId="1" applyFont="1" applyBorder="1" applyAlignment="1">
      <alignment horizontal="center" vertical="top" wrapText="1"/>
    </xf>
    <xf numFmtId="0" fontId="4" fillId="0" borderId="12" xfId="1" applyFont="1" applyBorder="1" applyAlignment="1">
      <alignment horizontal="center" vertical="top" wrapText="1"/>
    </xf>
    <xf numFmtId="0" fontId="0" fillId="0" borderId="14" xfId="0" applyBorder="1"/>
    <xf numFmtId="164" fontId="0" fillId="0" borderId="1" xfId="0" applyNumberFormat="1" applyBorder="1"/>
    <xf numFmtId="0" fontId="0" fillId="0" borderId="11" xfId="0" applyBorder="1"/>
    <xf numFmtId="0" fontId="2" fillId="0" borderId="0" xfId="1" applyFont="1" applyAlignment="1">
      <alignment horizontal="center" vertical="top" wrapText="1"/>
    </xf>
    <xf numFmtId="0" fontId="0" fillId="0" borderId="18" xfId="0" applyBorder="1"/>
    <xf numFmtId="164" fontId="4" fillId="0" borderId="1" xfId="1" applyNumberFormat="1" applyFont="1" applyBorder="1" applyAlignment="1">
      <alignment horizontal="center" vertical="top" wrapText="1"/>
    </xf>
    <xf numFmtId="0" fontId="4" fillId="0" borderId="19" xfId="1" applyFont="1" applyBorder="1" applyAlignment="1">
      <alignment horizontal="center" vertical="top" wrapText="1"/>
    </xf>
    <xf numFmtId="164" fontId="0" fillId="0" borderId="0" xfId="0" applyNumberFormat="1"/>
    <xf numFmtId="0" fontId="0" fillId="0" borderId="13" xfId="0" applyBorder="1" applyAlignment="1">
      <alignment wrapText="1"/>
    </xf>
    <xf numFmtId="164" fontId="0" fillId="0" borderId="13" xfId="0" applyNumberFormat="1" applyBorder="1"/>
    <xf numFmtId="165" fontId="4" fillId="0" borderId="1" xfId="2" applyNumberFormat="1" applyFont="1" applyBorder="1" applyAlignment="1">
      <alignment horizontal="center" vertical="center" wrapText="1"/>
    </xf>
    <xf numFmtId="165" fontId="0" fillId="0" borderId="1" xfId="2" applyNumberFormat="1" applyFont="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164" fontId="0" fillId="0" borderId="1" xfId="0" applyNumberFormat="1" applyBorder="1" applyAlignment="1">
      <alignment horizontal="center" vertical="center"/>
    </xf>
    <xf numFmtId="0" fontId="0" fillId="3" borderId="0" xfId="0" applyFill="1"/>
    <xf numFmtId="0" fontId="0" fillId="3" borderId="23" xfId="0" applyFill="1" applyBorder="1"/>
    <xf numFmtId="0" fontId="0" fillId="3" borderId="15" xfId="0" applyFill="1" applyBorder="1"/>
    <xf numFmtId="0" fontId="0" fillId="3" borderId="16" xfId="0" applyFill="1" applyBorder="1"/>
    <xf numFmtId="0" fontId="0" fillId="3" borderId="24" xfId="0" applyFill="1" applyBorder="1"/>
    <xf numFmtId="0" fontId="0" fillId="3" borderId="23" xfId="0" applyFill="1" applyBorder="1" applyAlignment="1">
      <alignment horizontal="center" vertical="center"/>
    </xf>
    <xf numFmtId="0" fontId="0" fillId="3" borderId="23" xfId="0" applyFill="1" applyBorder="1" applyAlignment="1">
      <alignment horizontal="center"/>
    </xf>
    <xf numFmtId="0" fontId="8" fillId="0" borderId="1" xfId="0" applyFont="1" applyBorder="1" applyAlignment="1">
      <alignment horizontal="center" vertical="center" wrapText="1"/>
    </xf>
    <xf numFmtId="1" fontId="0" fillId="0" borderId="1" xfId="2" applyNumberFormat="1" applyFont="1" applyBorder="1" applyAlignment="1">
      <alignment horizontal="center"/>
    </xf>
    <xf numFmtId="165" fontId="0" fillId="0" borderId="1" xfId="2" applyNumberFormat="1" applyFont="1" applyBorder="1" applyAlignment="1">
      <alignment horizontal="center"/>
    </xf>
    <xf numFmtId="0" fontId="0" fillId="0" borderId="2" xfId="0" applyBorder="1" applyAlignment="1">
      <alignment wrapText="1"/>
    </xf>
    <xf numFmtId="0" fontId="8" fillId="0" borderId="11" xfId="0" applyFont="1" applyBorder="1" applyAlignment="1">
      <alignment horizontal="center" vertical="center" wrapText="1"/>
    </xf>
    <xf numFmtId="0" fontId="0" fillId="0" borderId="25" xfId="0" applyBorder="1" applyAlignment="1">
      <alignment horizontal="center"/>
    </xf>
    <xf numFmtId="0" fontId="0" fillId="0" borderId="11" xfId="0" applyBorder="1" applyAlignment="1">
      <alignment horizontal="center"/>
    </xf>
    <xf numFmtId="0" fontId="9" fillId="0" borderId="11" xfId="0" applyFont="1" applyBorder="1" applyAlignment="1">
      <alignment horizontal="left" vertical="center" indent="1"/>
    </xf>
    <xf numFmtId="0" fontId="9" fillId="0" borderId="26" xfId="0" applyFont="1" applyBorder="1" applyAlignment="1">
      <alignment horizontal="left" vertical="center" indent="1"/>
    </xf>
    <xf numFmtId="0" fontId="0" fillId="0" borderId="13" xfId="0" applyBorder="1"/>
    <xf numFmtId="0" fontId="0" fillId="0" borderId="25" xfId="0" applyBorder="1"/>
    <xf numFmtId="10" fontId="0" fillId="0" borderId="14" xfId="3" applyNumberFormat="1" applyFont="1" applyBorder="1" applyAlignment="1">
      <alignment horizontal="center"/>
    </xf>
    <xf numFmtId="10" fontId="0" fillId="0" borderId="6" xfId="0" applyNumberFormat="1" applyBorder="1"/>
    <xf numFmtId="0" fontId="0" fillId="0" borderId="26" xfId="0" applyBorder="1"/>
    <xf numFmtId="0" fontId="0" fillId="0" borderId="27" xfId="0" applyBorder="1"/>
    <xf numFmtId="0" fontId="0" fillId="0" borderId="1" xfId="0" applyBorder="1" applyAlignment="1">
      <alignment horizontal="left" wrapText="1"/>
    </xf>
    <xf numFmtId="0" fontId="0" fillId="0" borderId="17"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19" xfId="0" applyBorder="1" applyAlignment="1">
      <alignment horizontal="center"/>
    </xf>
    <xf numFmtId="0" fontId="0" fillId="0" borderId="28" xfId="0" applyBorder="1" applyAlignment="1">
      <alignment horizontal="center"/>
    </xf>
    <xf numFmtId="0" fontId="0" fillId="0" borderId="0" xfId="0" applyAlignment="1">
      <alignment wrapText="1"/>
    </xf>
    <xf numFmtId="0" fontId="0" fillId="0" borderId="1" xfId="0" applyFill="1" applyBorder="1"/>
    <xf numFmtId="0" fontId="0" fillId="0" borderId="0" xfId="0" applyBorder="1"/>
    <xf numFmtId="0" fontId="0" fillId="0" borderId="0" xfId="0" applyBorder="1" applyAlignment="1">
      <alignment wrapText="1"/>
    </xf>
    <xf numFmtId="0" fontId="0" fillId="0" borderId="29" xfId="0" applyBorder="1"/>
    <xf numFmtId="0" fontId="0" fillId="0" borderId="30" xfId="0" applyBorder="1"/>
  </cellXfs>
  <cellStyles count="4">
    <cellStyle name="Millares" xfId="2" builtinId="3"/>
    <cellStyle name="Normal" xfId="0" builtinId="0"/>
    <cellStyle name="Normal 2" xfId="1" xr:uid="{467B60CB-F5C9-4561-AB3F-5C5EDAA62AF9}"/>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Error de entrenamiento y de validación según la complejidad del modelo</a:t>
            </a:r>
            <a:endParaRPr lang="en-US"/>
          </a:p>
        </c:rich>
      </c:tx>
      <c:layout>
        <c:manualLayout>
          <c:xMode val="edge"/>
          <c:yMode val="edge"/>
          <c:x val="0.1145973315835520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'Ejercicio 5'!$B$1</c:f>
              <c:strCache>
                <c:ptCount val="1"/>
                <c:pt idx="0">
                  <c:v>Error de entrenamiento</c:v>
                </c:pt>
              </c:strCache>
            </c:strRef>
          </c:tx>
          <c:spPr>
            <a:ln w="28575" cap="rnd">
              <a:solidFill>
                <a:schemeClr val="accent2"/>
              </a:solidFill>
              <a:round/>
            </a:ln>
            <a:effectLst/>
          </c:spPr>
          <c:marker>
            <c:symbol val="none"/>
          </c:marker>
          <c:cat>
            <c:numRef>
              <c:f>'Ejercicio 5'!$A$2:$A$9</c:f>
              <c:numCache>
                <c:formatCode>General</c:formatCode>
                <c:ptCount val="8"/>
                <c:pt idx="0">
                  <c:v>1</c:v>
                </c:pt>
                <c:pt idx="1">
                  <c:v>3</c:v>
                </c:pt>
                <c:pt idx="2">
                  <c:v>5</c:v>
                </c:pt>
                <c:pt idx="3">
                  <c:v>7</c:v>
                </c:pt>
                <c:pt idx="4">
                  <c:v>9</c:v>
                </c:pt>
                <c:pt idx="5">
                  <c:v>15</c:v>
                </c:pt>
                <c:pt idx="6">
                  <c:v>25</c:v>
                </c:pt>
                <c:pt idx="7">
                  <c:v>40</c:v>
                </c:pt>
              </c:numCache>
            </c:numRef>
          </c:cat>
          <c:val>
            <c:numRef>
              <c:f>'Ejercicio 5'!$B$2:$B$9</c:f>
              <c:numCache>
                <c:formatCode>General</c:formatCode>
                <c:ptCount val="8"/>
                <c:pt idx="0">
                  <c:v>0.42</c:v>
                </c:pt>
                <c:pt idx="1">
                  <c:v>0.3</c:v>
                </c:pt>
                <c:pt idx="2">
                  <c:v>0.22</c:v>
                </c:pt>
                <c:pt idx="3">
                  <c:v>0.16</c:v>
                </c:pt>
                <c:pt idx="4">
                  <c:v>0.12</c:v>
                </c:pt>
                <c:pt idx="5">
                  <c:v>0.06</c:v>
                </c:pt>
                <c:pt idx="6">
                  <c:v>0.02</c:v>
                </c:pt>
                <c:pt idx="7">
                  <c:v>0</c:v>
                </c:pt>
              </c:numCache>
            </c:numRef>
          </c:val>
          <c:smooth val="0"/>
          <c:extLst>
            <c:ext xmlns:c16="http://schemas.microsoft.com/office/drawing/2014/chart" uri="{C3380CC4-5D6E-409C-BE32-E72D297353CC}">
              <c16:uniqueId val="{00000001-202D-4D2E-9E1C-0DAFDF278FA4}"/>
            </c:ext>
          </c:extLst>
        </c:ser>
        <c:ser>
          <c:idx val="2"/>
          <c:order val="1"/>
          <c:tx>
            <c:strRef>
              <c:f>'Ejercicio 5'!$C$1</c:f>
              <c:strCache>
                <c:ptCount val="1"/>
                <c:pt idx="0">
                  <c:v>Error de validacion</c:v>
                </c:pt>
              </c:strCache>
            </c:strRef>
          </c:tx>
          <c:spPr>
            <a:ln w="28575" cap="rnd">
              <a:solidFill>
                <a:schemeClr val="accent3"/>
              </a:solidFill>
              <a:round/>
            </a:ln>
            <a:effectLst/>
          </c:spPr>
          <c:marker>
            <c:symbol val="none"/>
          </c:marker>
          <c:cat>
            <c:numRef>
              <c:f>'Ejercicio 5'!$A$2:$A$9</c:f>
              <c:numCache>
                <c:formatCode>General</c:formatCode>
                <c:ptCount val="8"/>
                <c:pt idx="0">
                  <c:v>1</c:v>
                </c:pt>
                <c:pt idx="1">
                  <c:v>3</c:v>
                </c:pt>
                <c:pt idx="2">
                  <c:v>5</c:v>
                </c:pt>
                <c:pt idx="3">
                  <c:v>7</c:v>
                </c:pt>
                <c:pt idx="4">
                  <c:v>9</c:v>
                </c:pt>
                <c:pt idx="5">
                  <c:v>15</c:v>
                </c:pt>
                <c:pt idx="6">
                  <c:v>25</c:v>
                </c:pt>
                <c:pt idx="7">
                  <c:v>40</c:v>
                </c:pt>
              </c:numCache>
            </c:numRef>
          </c:cat>
          <c:val>
            <c:numRef>
              <c:f>'Ejercicio 5'!$C$2:$C$9</c:f>
              <c:numCache>
                <c:formatCode>General</c:formatCode>
                <c:ptCount val="8"/>
                <c:pt idx="0">
                  <c:v>0.45</c:v>
                </c:pt>
                <c:pt idx="1">
                  <c:v>0.33</c:v>
                </c:pt>
                <c:pt idx="2">
                  <c:v>0.26</c:v>
                </c:pt>
                <c:pt idx="3">
                  <c:v>0.21</c:v>
                </c:pt>
                <c:pt idx="4">
                  <c:v>0.19</c:v>
                </c:pt>
                <c:pt idx="5">
                  <c:v>0.2</c:v>
                </c:pt>
                <c:pt idx="6">
                  <c:v>0.27</c:v>
                </c:pt>
                <c:pt idx="7">
                  <c:v>0.34</c:v>
                </c:pt>
              </c:numCache>
            </c:numRef>
          </c:val>
          <c:smooth val="0"/>
          <c:extLst>
            <c:ext xmlns:c16="http://schemas.microsoft.com/office/drawing/2014/chart" uri="{C3380CC4-5D6E-409C-BE32-E72D297353CC}">
              <c16:uniqueId val="{00000002-202D-4D2E-9E1C-0DAFDF278FA4}"/>
            </c:ext>
          </c:extLst>
        </c:ser>
        <c:dLbls>
          <c:showLegendKey val="0"/>
          <c:showVal val="0"/>
          <c:showCatName val="0"/>
          <c:showSerName val="0"/>
          <c:showPercent val="0"/>
          <c:showBubbleSize val="0"/>
        </c:dLbls>
        <c:smooth val="0"/>
        <c:axId val="1248130927"/>
        <c:axId val="1248113647"/>
      </c:lineChart>
      <c:catAx>
        <c:axId val="124813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113647"/>
        <c:crosses val="autoZero"/>
        <c:auto val="1"/>
        <c:lblAlgn val="ctr"/>
        <c:lblOffset val="100"/>
        <c:noMultiLvlLbl val="0"/>
      </c:catAx>
      <c:valAx>
        <c:axId val="124811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130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Error de entrenamiento y de validación según la complejidad del modelo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'Ejercicio 5'!$B$1</c:f>
              <c:strCache>
                <c:ptCount val="1"/>
                <c:pt idx="0">
                  <c:v>Error de entrenamiento</c:v>
                </c:pt>
              </c:strCache>
            </c:strRef>
          </c:tx>
          <c:spPr>
            <a:ln w="28575" cap="rnd">
              <a:solidFill>
                <a:schemeClr val="accent1"/>
              </a:solidFill>
              <a:round/>
            </a:ln>
            <a:effectLst/>
          </c:spPr>
          <c:marker>
            <c:symbol val="none"/>
          </c:marker>
          <c:cat>
            <c:numRef>
              <c:f>'Ejercicio 5'!$A$2:$A$9</c:f>
              <c:numCache>
                <c:formatCode>General</c:formatCode>
                <c:ptCount val="8"/>
                <c:pt idx="0">
                  <c:v>1</c:v>
                </c:pt>
                <c:pt idx="1">
                  <c:v>3</c:v>
                </c:pt>
                <c:pt idx="2">
                  <c:v>5</c:v>
                </c:pt>
                <c:pt idx="3">
                  <c:v>7</c:v>
                </c:pt>
                <c:pt idx="4">
                  <c:v>9</c:v>
                </c:pt>
                <c:pt idx="5">
                  <c:v>15</c:v>
                </c:pt>
                <c:pt idx="6">
                  <c:v>25</c:v>
                </c:pt>
                <c:pt idx="7">
                  <c:v>40</c:v>
                </c:pt>
              </c:numCache>
            </c:numRef>
          </c:cat>
          <c:val>
            <c:numRef>
              <c:f>'Ejercicio 5'!$B$2:$B$9</c:f>
              <c:numCache>
                <c:formatCode>General</c:formatCode>
                <c:ptCount val="8"/>
                <c:pt idx="0">
                  <c:v>0.42</c:v>
                </c:pt>
                <c:pt idx="1">
                  <c:v>0.3</c:v>
                </c:pt>
                <c:pt idx="2">
                  <c:v>0.22</c:v>
                </c:pt>
                <c:pt idx="3">
                  <c:v>0.16</c:v>
                </c:pt>
                <c:pt idx="4">
                  <c:v>0.12</c:v>
                </c:pt>
                <c:pt idx="5">
                  <c:v>0.06</c:v>
                </c:pt>
                <c:pt idx="6">
                  <c:v>0.02</c:v>
                </c:pt>
                <c:pt idx="7">
                  <c:v>0</c:v>
                </c:pt>
              </c:numCache>
            </c:numRef>
          </c:val>
          <c:smooth val="0"/>
          <c:extLst>
            <c:ext xmlns:c16="http://schemas.microsoft.com/office/drawing/2014/chart" uri="{C3380CC4-5D6E-409C-BE32-E72D297353CC}">
              <c16:uniqueId val="{00000000-1D49-4D56-8E6A-E4D6D726B604}"/>
            </c:ext>
          </c:extLst>
        </c:ser>
        <c:ser>
          <c:idx val="1"/>
          <c:order val="1"/>
          <c:tx>
            <c:strRef>
              <c:f>'Ejercicio 5'!$C$1</c:f>
              <c:strCache>
                <c:ptCount val="1"/>
                <c:pt idx="0">
                  <c:v>Error de validacion</c:v>
                </c:pt>
              </c:strCache>
            </c:strRef>
          </c:tx>
          <c:spPr>
            <a:ln w="28575" cap="rnd">
              <a:solidFill>
                <a:schemeClr val="accent2"/>
              </a:solidFill>
              <a:round/>
            </a:ln>
            <a:effectLst/>
          </c:spPr>
          <c:marker>
            <c:symbol val="none"/>
          </c:marker>
          <c:cat>
            <c:numRef>
              <c:f>'Ejercicio 5'!$A$2:$A$9</c:f>
              <c:numCache>
                <c:formatCode>General</c:formatCode>
                <c:ptCount val="8"/>
                <c:pt idx="0">
                  <c:v>1</c:v>
                </c:pt>
                <c:pt idx="1">
                  <c:v>3</c:v>
                </c:pt>
                <c:pt idx="2">
                  <c:v>5</c:v>
                </c:pt>
                <c:pt idx="3">
                  <c:v>7</c:v>
                </c:pt>
                <c:pt idx="4">
                  <c:v>9</c:v>
                </c:pt>
                <c:pt idx="5">
                  <c:v>15</c:v>
                </c:pt>
                <c:pt idx="6">
                  <c:v>25</c:v>
                </c:pt>
                <c:pt idx="7">
                  <c:v>40</c:v>
                </c:pt>
              </c:numCache>
            </c:numRef>
          </c:cat>
          <c:val>
            <c:numRef>
              <c:f>'Ejercicio 5'!$C$2:$C$9</c:f>
              <c:numCache>
                <c:formatCode>General</c:formatCode>
                <c:ptCount val="8"/>
                <c:pt idx="0">
                  <c:v>0.45</c:v>
                </c:pt>
                <c:pt idx="1">
                  <c:v>0.33</c:v>
                </c:pt>
                <c:pt idx="2">
                  <c:v>0.26</c:v>
                </c:pt>
                <c:pt idx="3">
                  <c:v>0.21</c:v>
                </c:pt>
                <c:pt idx="4">
                  <c:v>0.19</c:v>
                </c:pt>
                <c:pt idx="5">
                  <c:v>0.2</c:v>
                </c:pt>
                <c:pt idx="6">
                  <c:v>0.27</c:v>
                </c:pt>
                <c:pt idx="7">
                  <c:v>0.34</c:v>
                </c:pt>
              </c:numCache>
            </c:numRef>
          </c:val>
          <c:smooth val="0"/>
          <c:extLst>
            <c:ext xmlns:c16="http://schemas.microsoft.com/office/drawing/2014/chart" uri="{C3380CC4-5D6E-409C-BE32-E72D297353CC}">
              <c16:uniqueId val="{00000001-1D49-4D56-8E6A-E4D6D726B604}"/>
            </c:ext>
          </c:extLst>
        </c:ser>
        <c:dLbls>
          <c:showLegendKey val="0"/>
          <c:showVal val="0"/>
          <c:showCatName val="0"/>
          <c:showSerName val="0"/>
          <c:showPercent val="0"/>
          <c:showBubbleSize val="0"/>
        </c:dLbls>
        <c:smooth val="0"/>
        <c:axId val="962908928"/>
        <c:axId val="962909408"/>
      </c:lineChart>
      <c:catAx>
        <c:axId val="96290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909408"/>
        <c:crosses val="autoZero"/>
        <c:auto val="1"/>
        <c:lblAlgn val="ctr"/>
        <c:lblOffset val="100"/>
        <c:noMultiLvlLbl val="0"/>
      </c:catAx>
      <c:valAx>
        <c:axId val="96290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908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136071</xdr:colOff>
      <xdr:row>18</xdr:row>
      <xdr:rowOff>133350</xdr:rowOff>
    </xdr:from>
    <xdr:to>
      <xdr:col>11</xdr:col>
      <xdr:colOff>520700</xdr:colOff>
      <xdr:row>20</xdr:row>
      <xdr:rowOff>154214</xdr:rowOff>
    </xdr:to>
    <xdr:cxnSp macro="">
      <xdr:nvCxnSpPr>
        <xdr:cNvPr id="3" name="Conector recto de flecha 2">
          <a:extLst>
            <a:ext uri="{FF2B5EF4-FFF2-40B4-BE49-F238E27FC236}">
              <a16:creationId xmlns:a16="http://schemas.microsoft.com/office/drawing/2014/main" id="{E9F077FE-7D12-1F8E-ED95-66EE4D71B4A4}"/>
            </a:ext>
          </a:extLst>
        </xdr:cNvPr>
        <xdr:cNvCxnSpPr/>
      </xdr:nvCxnSpPr>
      <xdr:spPr>
        <a:xfrm flipH="1">
          <a:off x="7855857" y="1602921"/>
          <a:ext cx="1146629" cy="39279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139700</xdr:colOff>
      <xdr:row>18</xdr:row>
      <xdr:rowOff>101600</xdr:rowOff>
    </xdr:from>
    <xdr:to>
      <xdr:col>14</xdr:col>
      <xdr:colOff>653142</xdr:colOff>
      <xdr:row>20</xdr:row>
      <xdr:rowOff>163286</xdr:rowOff>
    </xdr:to>
    <xdr:cxnSp macro="">
      <xdr:nvCxnSpPr>
        <xdr:cNvPr id="4" name="Conector recto de flecha 3">
          <a:extLst>
            <a:ext uri="{FF2B5EF4-FFF2-40B4-BE49-F238E27FC236}">
              <a16:creationId xmlns:a16="http://schemas.microsoft.com/office/drawing/2014/main" id="{9AF46366-549C-4CE2-8E6C-5BE80AF7563A}"/>
            </a:ext>
          </a:extLst>
        </xdr:cNvPr>
        <xdr:cNvCxnSpPr/>
      </xdr:nvCxnSpPr>
      <xdr:spPr>
        <a:xfrm>
          <a:off x="10227129" y="1571171"/>
          <a:ext cx="1275442" cy="4336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260350</xdr:colOff>
      <xdr:row>19</xdr:row>
      <xdr:rowOff>12700</xdr:rowOff>
    </xdr:from>
    <xdr:to>
      <xdr:col>12</xdr:col>
      <xdr:colOff>260350</xdr:colOff>
      <xdr:row>20</xdr:row>
      <xdr:rowOff>152400</xdr:rowOff>
    </xdr:to>
    <xdr:cxnSp macro="">
      <xdr:nvCxnSpPr>
        <xdr:cNvPr id="8" name="Conector recto de flecha 7">
          <a:extLst>
            <a:ext uri="{FF2B5EF4-FFF2-40B4-BE49-F238E27FC236}">
              <a16:creationId xmlns:a16="http://schemas.microsoft.com/office/drawing/2014/main" id="{5CDDBA4D-9C02-06B1-DA63-8B8022C4F419}"/>
            </a:ext>
          </a:extLst>
        </xdr:cNvPr>
        <xdr:cNvCxnSpPr/>
      </xdr:nvCxnSpPr>
      <xdr:spPr>
        <a:xfrm>
          <a:off x="9505950" y="1308100"/>
          <a:ext cx="0" cy="3238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184150</xdr:colOff>
      <xdr:row>24</xdr:row>
      <xdr:rowOff>25400</xdr:rowOff>
    </xdr:from>
    <xdr:to>
      <xdr:col>9</xdr:col>
      <xdr:colOff>184150</xdr:colOff>
      <xdr:row>25</xdr:row>
      <xdr:rowOff>165100</xdr:rowOff>
    </xdr:to>
    <xdr:cxnSp macro="">
      <xdr:nvCxnSpPr>
        <xdr:cNvPr id="15" name="Conector recto de flecha 14">
          <a:extLst>
            <a:ext uri="{FF2B5EF4-FFF2-40B4-BE49-F238E27FC236}">
              <a16:creationId xmlns:a16="http://schemas.microsoft.com/office/drawing/2014/main" id="{8BF312F1-D2B1-424D-A654-E232E1E17DF2}"/>
            </a:ext>
          </a:extLst>
        </xdr:cNvPr>
        <xdr:cNvCxnSpPr/>
      </xdr:nvCxnSpPr>
      <xdr:spPr>
        <a:xfrm>
          <a:off x="7143750" y="2241550"/>
          <a:ext cx="0" cy="3238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336550</xdr:colOff>
      <xdr:row>34</xdr:row>
      <xdr:rowOff>19050</xdr:rowOff>
    </xdr:from>
    <xdr:to>
      <xdr:col>11</xdr:col>
      <xdr:colOff>336550</xdr:colOff>
      <xdr:row>35</xdr:row>
      <xdr:rowOff>152400</xdr:rowOff>
    </xdr:to>
    <xdr:cxnSp macro="">
      <xdr:nvCxnSpPr>
        <xdr:cNvPr id="16" name="Conector recto de flecha 15">
          <a:extLst>
            <a:ext uri="{FF2B5EF4-FFF2-40B4-BE49-F238E27FC236}">
              <a16:creationId xmlns:a16="http://schemas.microsoft.com/office/drawing/2014/main" id="{25F7ED46-FDDF-4144-B0A2-70308DB8B4FE}"/>
            </a:ext>
          </a:extLst>
        </xdr:cNvPr>
        <xdr:cNvCxnSpPr/>
      </xdr:nvCxnSpPr>
      <xdr:spPr>
        <a:xfrm>
          <a:off x="8820150" y="4667250"/>
          <a:ext cx="0" cy="3238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330200</xdr:colOff>
      <xdr:row>34</xdr:row>
      <xdr:rowOff>38100</xdr:rowOff>
    </xdr:from>
    <xdr:to>
      <xdr:col>13</xdr:col>
      <xdr:colOff>330200</xdr:colOff>
      <xdr:row>35</xdr:row>
      <xdr:rowOff>177800</xdr:rowOff>
    </xdr:to>
    <xdr:cxnSp macro="">
      <xdr:nvCxnSpPr>
        <xdr:cNvPr id="17" name="Conector recto de flecha 16">
          <a:extLst>
            <a:ext uri="{FF2B5EF4-FFF2-40B4-BE49-F238E27FC236}">
              <a16:creationId xmlns:a16="http://schemas.microsoft.com/office/drawing/2014/main" id="{1A0BB610-AE5B-4958-85A4-C769B2F53E49}"/>
            </a:ext>
          </a:extLst>
        </xdr:cNvPr>
        <xdr:cNvCxnSpPr/>
      </xdr:nvCxnSpPr>
      <xdr:spPr>
        <a:xfrm>
          <a:off x="10337800" y="4686300"/>
          <a:ext cx="0" cy="330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336550</xdr:colOff>
      <xdr:row>23</xdr:row>
      <xdr:rowOff>95250</xdr:rowOff>
    </xdr:from>
    <xdr:to>
      <xdr:col>12</xdr:col>
      <xdr:colOff>336550</xdr:colOff>
      <xdr:row>25</xdr:row>
      <xdr:rowOff>44450</xdr:rowOff>
    </xdr:to>
    <xdr:cxnSp macro="">
      <xdr:nvCxnSpPr>
        <xdr:cNvPr id="19" name="Conector recto de flecha 18">
          <a:extLst>
            <a:ext uri="{FF2B5EF4-FFF2-40B4-BE49-F238E27FC236}">
              <a16:creationId xmlns:a16="http://schemas.microsoft.com/office/drawing/2014/main" id="{DB6F6F62-2E66-475F-A6CA-2C0FFE9E6F48}"/>
            </a:ext>
          </a:extLst>
        </xdr:cNvPr>
        <xdr:cNvCxnSpPr/>
      </xdr:nvCxnSpPr>
      <xdr:spPr>
        <a:xfrm>
          <a:off x="9582150" y="2711450"/>
          <a:ext cx="0" cy="3238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361950</xdr:colOff>
      <xdr:row>29</xdr:row>
      <xdr:rowOff>25400</xdr:rowOff>
    </xdr:from>
    <xdr:to>
      <xdr:col>11</xdr:col>
      <xdr:colOff>723900</xdr:colOff>
      <xdr:row>30</xdr:row>
      <xdr:rowOff>152400</xdr:rowOff>
    </xdr:to>
    <xdr:cxnSp macro="">
      <xdr:nvCxnSpPr>
        <xdr:cNvPr id="20" name="Conector recto de flecha 19">
          <a:extLst>
            <a:ext uri="{FF2B5EF4-FFF2-40B4-BE49-F238E27FC236}">
              <a16:creationId xmlns:a16="http://schemas.microsoft.com/office/drawing/2014/main" id="{D3475E7F-43D9-4119-B1E5-28606D27AC54}"/>
            </a:ext>
          </a:extLst>
        </xdr:cNvPr>
        <xdr:cNvCxnSpPr/>
      </xdr:nvCxnSpPr>
      <xdr:spPr>
        <a:xfrm flipH="1">
          <a:off x="8845550" y="3549650"/>
          <a:ext cx="361950" cy="3111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539750</xdr:colOff>
      <xdr:row>29</xdr:row>
      <xdr:rowOff>44450</xdr:rowOff>
    </xdr:from>
    <xdr:to>
      <xdr:col>13</xdr:col>
      <xdr:colOff>133350</xdr:colOff>
      <xdr:row>30</xdr:row>
      <xdr:rowOff>133350</xdr:rowOff>
    </xdr:to>
    <xdr:cxnSp macro="">
      <xdr:nvCxnSpPr>
        <xdr:cNvPr id="22" name="Conector recto de flecha 21">
          <a:extLst>
            <a:ext uri="{FF2B5EF4-FFF2-40B4-BE49-F238E27FC236}">
              <a16:creationId xmlns:a16="http://schemas.microsoft.com/office/drawing/2014/main" id="{C1BE0E64-FCE1-4203-B0ED-7DE39EF7B20A}"/>
            </a:ext>
          </a:extLst>
        </xdr:cNvPr>
        <xdr:cNvCxnSpPr/>
      </xdr:nvCxnSpPr>
      <xdr:spPr>
        <a:xfrm>
          <a:off x="9785350" y="3568700"/>
          <a:ext cx="355600" cy="273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336550</xdr:colOff>
      <xdr:row>23</xdr:row>
      <xdr:rowOff>101600</xdr:rowOff>
    </xdr:from>
    <xdr:to>
      <xdr:col>12</xdr:col>
      <xdr:colOff>336550</xdr:colOff>
      <xdr:row>25</xdr:row>
      <xdr:rowOff>50800</xdr:rowOff>
    </xdr:to>
    <xdr:cxnSp macro="">
      <xdr:nvCxnSpPr>
        <xdr:cNvPr id="24" name="Conector recto de flecha 23">
          <a:extLst>
            <a:ext uri="{FF2B5EF4-FFF2-40B4-BE49-F238E27FC236}">
              <a16:creationId xmlns:a16="http://schemas.microsoft.com/office/drawing/2014/main" id="{6BFC3AA1-3838-4408-80B4-3458E49B10D6}"/>
            </a:ext>
          </a:extLst>
        </xdr:cNvPr>
        <xdr:cNvCxnSpPr/>
      </xdr:nvCxnSpPr>
      <xdr:spPr>
        <a:xfrm>
          <a:off x="9582150" y="2711450"/>
          <a:ext cx="0" cy="3238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571501</xdr:colOff>
      <xdr:row>23</xdr:row>
      <xdr:rowOff>81643</xdr:rowOff>
    </xdr:from>
    <xdr:to>
      <xdr:col>16</xdr:col>
      <xdr:colOff>99785</xdr:colOff>
      <xdr:row>25</xdr:row>
      <xdr:rowOff>63500</xdr:rowOff>
    </xdr:to>
    <xdr:cxnSp macro="">
      <xdr:nvCxnSpPr>
        <xdr:cNvPr id="25" name="Conector recto de flecha 24">
          <a:extLst>
            <a:ext uri="{FF2B5EF4-FFF2-40B4-BE49-F238E27FC236}">
              <a16:creationId xmlns:a16="http://schemas.microsoft.com/office/drawing/2014/main" id="{28558E22-A063-45F5-A188-E7EAF5BDB844}"/>
            </a:ext>
          </a:extLst>
        </xdr:cNvPr>
        <xdr:cNvCxnSpPr/>
      </xdr:nvCxnSpPr>
      <xdr:spPr>
        <a:xfrm>
          <a:off x="12182930" y="2685143"/>
          <a:ext cx="290284" cy="3537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625928</xdr:colOff>
      <xdr:row>29</xdr:row>
      <xdr:rowOff>99786</xdr:rowOff>
    </xdr:from>
    <xdr:to>
      <xdr:col>16</xdr:col>
      <xdr:colOff>9070</xdr:colOff>
      <xdr:row>30</xdr:row>
      <xdr:rowOff>136072</xdr:rowOff>
    </xdr:to>
    <xdr:cxnSp macro="">
      <xdr:nvCxnSpPr>
        <xdr:cNvPr id="26" name="Conector recto de flecha 25">
          <a:extLst>
            <a:ext uri="{FF2B5EF4-FFF2-40B4-BE49-F238E27FC236}">
              <a16:creationId xmlns:a16="http://schemas.microsoft.com/office/drawing/2014/main" id="{5C6BB79A-3B2C-4810-BD35-EA784C5927AC}"/>
            </a:ext>
          </a:extLst>
        </xdr:cNvPr>
        <xdr:cNvCxnSpPr/>
      </xdr:nvCxnSpPr>
      <xdr:spPr>
        <a:xfrm flipH="1">
          <a:off x="12237357" y="3628572"/>
          <a:ext cx="145142" cy="21771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36284</xdr:colOff>
      <xdr:row>29</xdr:row>
      <xdr:rowOff>36285</xdr:rowOff>
    </xdr:from>
    <xdr:to>
      <xdr:col>17</xdr:col>
      <xdr:colOff>344714</xdr:colOff>
      <xdr:row>30</xdr:row>
      <xdr:rowOff>136072</xdr:rowOff>
    </xdr:to>
    <xdr:cxnSp macro="">
      <xdr:nvCxnSpPr>
        <xdr:cNvPr id="29" name="Conector recto de flecha 28">
          <a:extLst>
            <a:ext uri="{FF2B5EF4-FFF2-40B4-BE49-F238E27FC236}">
              <a16:creationId xmlns:a16="http://schemas.microsoft.com/office/drawing/2014/main" id="{3C6FA104-07AF-44C0-8BFF-3FBC586B25C2}"/>
            </a:ext>
          </a:extLst>
        </xdr:cNvPr>
        <xdr:cNvCxnSpPr/>
      </xdr:nvCxnSpPr>
      <xdr:spPr>
        <a:xfrm>
          <a:off x="13171713" y="3565071"/>
          <a:ext cx="308430" cy="2812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317500</xdr:colOff>
      <xdr:row>34</xdr:row>
      <xdr:rowOff>9072</xdr:rowOff>
    </xdr:from>
    <xdr:to>
      <xdr:col>15</xdr:col>
      <xdr:colOff>317500</xdr:colOff>
      <xdr:row>35</xdr:row>
      <xdr:rowOff>148772</xdr:rowOff>
    </xdr:to>
    <xdr:cxnSp macro="">
      <xdr:nvCxnSpPr>
        <xdr:cNvPr id="31" name="Conector recto de flecha 30">
          <a:extLst>
            <a:ext uri="{FF2B5EF4-FFF2-40B4-BE49-F238E27FC236}">
              <a16:creationId xmlns:a16="http://schemas.microsoft.com/office/drawing/2014/main" id="{D6F52687-FE7C-4F82-9D72-7BB62CD8544F}"/>
            </a:ext>
          </a:extLst>
        </xdr:cNvPr>
        <xdr:cNvCxnSpPr/>
      </xdr:nvCxnSpPr>
      <xdr:spPr>
        <a:xfrm>
          <a:off x="11928929" y="4671786"/>
          <a:ext cx="0" cy="330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399143</xdr:colOff>
      <xdr:row>32</xdr:row>
      <xdr:rowOff>54429</xdr:rowOff>
    </xdr:from>
    <xdr:to>
      <xdr:col>17</xdr:col>
      <xdr:colOff>399143</xdr:colOff>
      <xdr:row>33</xdr:row>
      <xdr:rowOff>12700</xdr:rowOff>
    </xdr:to>
    <xdr:cxnSp macro="">
      <xdr:nvCxnSpPr>
        <xdr:cNvPr id="32" name="Conector recto de flecha 31">
          <a:extLst>
            <a:ext uri="{FF2B5EF4-FFF2-40B4-BE49-F238E27FC236}">
              <a16:creationId xmlns:a16="http://schemas.microsoft.com/office/drawing/2014/main" id="{AF86B3F0-F285-4B64-887B-D470CBCB5C10}"/>
            </a:ext>
          </a:extLst>
        </xdr:cNvPr>
        <xdr:cNvCxnSpPr/>
      </xdr:nvCxnSpPr>
      <xdr:spPr>
        <a:xfrm>
          <a:off x="13534572" y="3955143"/>
          <a:ext cx="0" cy="330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680357</xdr:colOff>
      <xdr:row>36</xdr:row>
      <xdr:rowOff>90714</xdr:rowOff>
    </xdr:from>
    <xdr:to>
      <xdr:col>17</xdr:col>
      <xdr:colOff>72570</xdr:colOff>
      <xdr:row>37</xdr:row>
      <xdr:rowOff>145143</xdr:rowOff>
    </xdr:to>
    <xdr:cxnSp macro="">
      <xdr:nvCxnSpPr>
        <xdr:cNvPr id="33" name="Conector recto de flecha 32">
          <a:extLst>
            <a:ext uri="{FF2B5EF4-FFF2-40B4-BE49-F238E27FC236}">
              <a16:creationId xmlns:a16="http://schemas.microsoft.com/office/drawing/2014/main" id="{4E648D42-5035-47AA-AC1D-BC020077BD73}"/>
            </a:ext>
          </a:extLst>
        </xdr:cNvPr>
        <xdr:cNvCxnSpPr/>
      </xdr:nvCxnSpPr>
      <xdr:spPr>
        <a:xfrm flipH="1">
          <a:off x="13053786" y="5306785"/>
          <a:ext cx="154213" cy="24492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553357</xdr:colOff>
      <xdr:row>36</xdr:row>
      <xdr:rowOff>81643</xdr:rowOff>
    </xdr:from>
    <xdr:to>
      <xdr:col>17</xdr:col>
      <xdr:colOff>707571</xdr:colOff>
      <xdr:row>37</xdr:row>
      <xdr:rowOff>154215</xdr:rowOff>
    </xdr:to>
    <xdr:cxnSp macro="">
      <xdr:nvCxnSpPr>
        <xdr:cNvPr id="34" name="Conector recto de flecha 33">
          <a:extLst>
            <a:ext uri="{FF2B5EF4-FFF2-40B4-BE49-F238E27FC236}">
              <a16:creationId xmlns:a16="http://schemas.microsoft.com/office/drawing/2014/main" id="{548706DA-B095-46C5-9C8A-FE9FB317F2CD}"/>
            </a:ext>
          </a:extLst>
        </xdr:cNvPr>
        <xdr:cNvCxnSpPr/>
      </xdr:nvCxnSpPr>
      <xdr:spPr>
        <a:xfrm>
          <a:off x="13688786" y="5297714"/>
          <a:ext cx="154214" cy="2630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362857</xdr:colOff>
      <xdr:row>40</xdr:row>
      <xdr:rowOff>362856</xdr:rowOff>
    </xdr:from>
    <xdr:to>
      <xdr:col>16</xdr:col>
      <xdr:colOff>362857</xdr:colOff>
      <xdr:row>42</xdr:row>
      <xdr:rowOff>139699</xdr:rowOff>
    </xdr:to>
    <xdr:cxnSp macro="">
      <xdr:nvCxnSpPr>
        <xdr:cNvPr id="35" name="Conector recto de flecha 34">
          <a:extLst>
            <a:ext uri="{FF2B5EF4-FFF2-40B4-BE49-F238E27FC236}">
              <a16:creationId xmlns:a16="http://schemas.microsoft.com/office/drawing/2014/main" id="{8D682F03-50C6-4583-945B-E3702B6FC716}"/>
            </a:ext>
          </a:extLst>
        </xdr:cNvPr>
        <xdr:cNvCxnSpPr/>
      </xdr:nvCxnSpPr>
      <xdr:spPr>
        <a:xfrm>
          <a:off x="12736286" y="5941785"/>
          <a:ext cx="0" cy="330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397329</xdr:colOff>
      <xdr:row>40</xdr:row>
      <xdr:rowOff>370113</xdr:rowOff>
    </xdr:from>
    <xdr:to>
      <xdr:col>18</xdr:col>
      <xdr:colOff>397329</xdr:colOff>
      <xdr:row>42</xdr:row>
      <xdr:rowOff>146956</xdr:rowOff>
    </xdr:to>
    <xdr:cxnSp macro="">
      <xdr:nvCxnSpPr>
        <xdr:cNvPr id="36" name="Conector recto de flecha 35">
          <a:extLst>
            <a:ext uri="{FF2B5EF4-FFF2-40B4-BE49-F238E27FC236}">
              <a16:creationId xmlns:a16="http://schemas.microsoft.com/office/drawing/2014/main" id="{C9D241B3-F2D2-4698-8C89-A49865D026B4}"/>
            </a:ext>
          </a:extLst>
        </xdr:cNvPr>
        <xdr:cNvCxnSpPr/>
      </xdr:nvCxnSpPr>
      <xdr:spPr>
        <a:xfrm>
          <a:off x="14294758" y="5949042"/>
          <a:ext cx="0" cy="330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277811</xdr:colOff>
      <xdr:row>0</xdr:row>
      <xdr:rowOff>134937</xdr:rowOff>
    </xdr:from>
    <xdr:to>
      <xdr:col>17</xdr:col>
      <xdr:colOff>277811</xdr:colOff>
      <xdr:row>13</xdr:row>
      <xdr:rowOff>109537</xdr:rowOff>
    </xdr:to>
    <xdr:graphicFrame macro="">
      <xdr:nvGraphicFramePr>
        <xdr:cNvPr id="2" name="Gráfico 1">
          <a:extLst>
            <a:ext uri="{FF2B5EF4-FFF2-40B4-BE49-F238E27FC236}">
              <a16:creationId xmlns:a16="http://schemas.microsoft.com/office/drawing/2014/main" id="{7C497B97-85BE-F11C-968B-79D40446E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419100</xdr:colOff>
      <xdr:row>6</xdr:row>
      <xdr:rowOff>69850</xdr:rowOff>
    </xdr:from>
    <xdr:to>
      <xdr:col>9</xdr:col>
      <xdr:colOff>571500</xdr:colOff>
      <xdr:row>7</xdr:row>
      <xdr:rowOff>127000</xdr:rowOff>
    </xdr:to>
    <xdr:sp macro="" textlink="">
      <xdr:nvSpPr>
        <xdr:cNvPr id="3" name="CuadroTexto 2">
          <a:extLst>
            <a:ext uri="{FF2B5EF4-FFF2-40B4-BE49-F238E27FC236}">
              <a16:creationId xmlns:a16="http://schemas.microsoft.com/office/drawing/2014/main" id="{11AD866B-B960-7CF1-45EC-69B5BD23C77B}"/>
            </a:ext>
          </a:extLst>
        </xdr:cNvPr>
        <xdr:cNvSpPr txBox="1"/>
      </xdr:nvSpPr>
      <xdr:spPr>
        <a:xfrm>
          <a:off x="6667500" y="1543050"/>
          <a:ext cx="914400" cy="241300"/>
        </a:xfrm>
        <a:prstGeom prst="rect">
          <a:avLst/>
        </a:prstGeom>
        <a:solidFill>
          <a:schemeClr val="lt1">
            <a:alpha val="0"/>
          </a:schemeClr>
        </a:solidFill>
        <a:ln w="9525" cmpd="sng">
          <a:noFill/>
        </a:ln>
        <a:effectLst>
          <a:outerShdw blurRad="50800" dist="50800" dir="5400000" algn="ctr" rotWithShape="0">
            <a:srgbClr val="000000">
              <a:alpha val="0"/>
            </a:srgbClr>
          </a:outerShdw>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360363</xdr:colOff>
      <xdr:row>0</xdr:row>
      <xdr:rowOff>128588</xdr:rowOff>
    </xdr:from>
    <xdr:to>
      <xdr:col>10</xdr:col>
      <xdr:colOff>360363</xdr:colOff>
      <xdr:row>13</xdr:row>
      <xdr:rowOff>106363</xdr:rowOff>
    </xdr:to>
    <xdr:graphicFrame macro="">
      <xdr:nvGraphicFramePr>
        <xdr:cNvPr id="6" name="Gráfico 5">
          <a:extLst>
            <a:ext uri="{FF2B5EF4-FFF2-40B4-BE49-F238E27FC236}">
              <a16:creationId xmlns:a16="http://schemas.microsoft.com/office/drawing/2014/main" id="{77E6B8FE-BF6C-C036-3C0D-14F46C3FB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0.07118</cdr:x>
      <cdr:y>0.24537</cdr:y>
    </cdr:from>
    <cdr:to>
      <cdr:x>0.56701</cdr:x>
      <cdr:y>0.78704</cdr:y>
    </cdr:to>
    <cdr:sp macro="" textlink="">
      <cdr:nvSpPr>
        <cdr:cNvPr id="2" name="Rectángulo 1">
          <a:extLst xmlns:a="http://schemas.openxmlformats.org/drawingml/2006/main">
            <a:ext uri="{FF2B5EF4-FFF2-40B4-BE49-F238E27FC236}">
              <a16:creationId xmlns:a16="http://schemas.microsoft.com/office/drawing/2014/main" id="{6A9E9663-A96E-8090-EEFC-08087F79CA9E}"/>
            </a:ext>
          </a:extLst>
        </cdr:cNvPr>
        <cdr:cNvSpPr/>
      </cdr:nvSpPr>
      <cdr:spPr>
        <a:xfrm xmlns:a="http://schemas.openxmlformats.org/drawingml/2006/main">
          <a:off x="325452" y="667646"/>
          <a:ext cx="2266935" cy="1473870"/>
        </a:xfrm>
        <a:prstGeom xmlns:a="http://schemas.openxmlformats.org/drawingml/2006/main" prst="rect">
          <a:avLst/>
        </a:prstGeom>
        <a:solidFill xmlns:a="http://schemas.openxmlformats.org/drawingml/2006/main">
          <a:srgbClr val="FF0000">
            <a:alpha val="32000"/>
          </a:srgbClr>
        </a:solidFill>
        <a:ln xmlns:a="http://schemas.openxmlformats.org/drawingml/2006/main"/>
      </cdr:spPr>
      <cdr:style>
        <a:lnRef xmlns:a="http://schemas.openxmlformats.org/drawingml/2006/main" idx="2">
          <a:schemeClr val="accent1"/>
        </a:lnRef>
        <a:fillRef xmlns:a="http://schemas.openxmlformats.org/drawingml/2006/main" idx="1">
          <a:schemeClr val="lt1"/>
        </a:fillRef>
        <a:effectRef xmlns:a="http://schemas.openxmlformats.org/drawingml/2006/main" idx="0">
          <a:schemeClr val="accent1"/>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0.60069</cdr:x>
      <cdr:y>0.24537</cdr:y>
    </cdr:from>
    <cdr:to>
      <cdr:x>0.92431</cdr:x>
      <cdr:y>0.78704</cdr:y>
    </cdr:to>
    <cdr:sp macro="" textlink="">
      <cdr:nvSpPr>
        <cdr:cNvPr id="3" name="Rectángulo 2">
          <a:extLst xmlns:a="http://schemas.openxmlformats.org/drawingml/2006/main">
            <a:ext uri="{FF2B5EF4-FFF2-40B4-BE49-F238E27FC236}">
              <a16:creationId xmlns:a16="http://schemas.microsoft.com/office/drawing/2014/main" id="{415C6559-C5C2-CD3F-1437-8C3C665CD622}"/>
            </a:ext>
          </a:extLst>
        </cdr:cNvPr>
        <cdr:cNvSpPr/>
      </cdr:nvSpPr>
      <cdr:spPr>
        <a:xfrm xmlns:a="http://schemas.openxmlformats.org/drawingml/2006/main">
          <a:off x="2746355" y="667646"/>
          <a:ext cx="1479590" cy="1473870"/>
        </a:xfrm>
        <a:prstGeom xmlns:a="http://schemas.openxmlformats.org/drawingml/2006/main" prst="rect">
          <a:avLst/>
        </a:prstGeom>
        <a:solidFill xmlns:a="http://schemas.openxmlformats.org/drawingml/2006/main">
          <a:srgbClr val="FFC000">
            <a:alpha val="32000"/>
          </a:srgbClr>
        </a:solidFill>
        <a:ln xmlns:a="http://schemas.openxmlformats.org/drawingml/2006/main"/>
      </cdr:spPr>
      <cdr:style>
        <a:lnRef xmlns:a="http://schemas.openxmlformats.org/drawingml/2006/main" idx="2">
          <a:schemeClr val="accent1"/>
        </a:lnRef>
        <a:fillRef xmlns:a="http://schemas.openxmlformats.org/drawingml/2006/main" idx="1">
          <a:schemeClr val="lt1"/>
        </a:fillRef>
        <a:effectRef xmlns:a="http://schemas.openxmlformats.org/drawingml/2006/main" idx="0">
          <a:schemeClr val="accent1"/>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0.56944</cdr:x>
      <cdr:y>0.24537</cdr:y>
    </cdr:from>
    <cdr:to>
      <cdr:x>0.59792</cdr:x>
      <cdr:y>0.78704</cdr:y>
    </cdr:to>
    <cdr:sp macro="" textlink="">
      <cdr:nvSpPr>
        <cdr:cNvPr id="4" name="Rectángulo 3">
          <a:extLst xmlns:a="http://schemas.openxmlformats.org/drawingml/2006/main">
            <a:ext uri="{FF2B5EF4-FFF2-40B4-BE49-F238E27FC236}">
              <a16:creationId xmlns:a16="http://schemas.microsoft.com/office/drawing/2014/main" id="{2F4D8629-389B-A2CD-3971-FE969464724C}"/>
            </a:ext>
          </a:extLst>
        </cdr:cNvPr>
        <cdr:cNvSpPr/>
      </cdr:nvSpPr>
      <cdr:spPr>
        <a:xfrm xmlns:a="http://schemas.openxmlformats.org/drawingml/2006/main">
          <a:off x="2603500" y="673100"/>
          <a:ext cx="130175" cy="1485900"/>
        </a:xfrm>
        <a:prstGeom xmlns:a="http://schemas.openxmlformats.org/drawingml/2006/main" prst="rect">
          <a:avLst/>
        </a:prstGeom>
        <a:solidFill xmlns:a="http://schemas.openxmlformats.org/drawingml/2006/main">
          <a:srgbClr val="00B050">
            <a:alpha val="32000"/>
          </a:srgbClr>
        </a:solidFill>
        <a:ln xmlns:a="http://schemas.openxmlformats.org/drawingml/2006/main"/>
      </cdr:spPr>
      <cdr:style>
        <a:lnRef xmlns:a="http://schemas.openxmlformats.org/drawingml/2006/main" idx="2">
          <a:schemeClr val="accent1"/>
        </a:lnRef>
        <a:fillRef xmlns:a="http://schemas.openxmlformats.org/drawingml/2006/main" idx="1">
          <a:schemeClr val="lt1"/>
        </a:fillRef>
        <a:effectRef xmlns:a="http://schemas.openxmlformats.org/drawingml/2006/main" idx="0">
          <a:schemeClr val="accent1"/>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0.13819</cdr:x>
      <cdr:y>0.59028</cdr:y>
    </cdr:from>
    <cdr:to>
      <cdr:x>0.32986</cdr:x>
      <cdr:y>0.68056</cdr:y>
    </cdr:to>
    <cdr:sp macro="" textlink="">
      <cdr:nvSpPr>
        <cdr:cNvPr id="8" name="CuadroTexto 7">
          <a:extLst xmlns:a="http://schemas.openxmlformats.org/drawingml/2006/main">
            <a:ext uri="{FF2B5EF4-FFF2-40B4-BE49-F238E27FC236}">
              <a16:creationId xmlns:a16="http://schemas.microsoft.com/office/drawing/2014/main" id="{33DC4641-774D-24F1-DA4D-5EF11C8D4A24}"/>
            </a:ext>
          </a:extLst>
        </cdr:cNvPr>
        <cdr:cNvSpPr txBox="1"/>
      </cdr:nvSpPr>
      <cdr:spPr>
        <a:xfrm xmlns:a="http://schemas.openxmlformats.org/drawingml/2006/main">
          <a:off x="631825" y="1619250"/>
          <a:ext cx="876300" cy="247650"/>
        </a:xfrm>
        <a:prstGeom xmlns:a="http://schemas.openxmlformats.org/drawingml/2006/main" prst="rect">
          <a:avLst/>
        </a:prstGeom>
        <a:solidFill xmlns:a="http://schemas.openxmlformats.org/drawingml/2006/main">
          <a:srgbClr val="FF0000">
            <a:alpha val="0"/>
          </a:srgbClr>
        </a:solidFill>
      </cdr:spPr>
      <cdr:txBody>
        <a:bodyPr xmlns:a="http://schemas.openxmlformats.org/drawingml/2006/main" vertOverflow="clip" wrap="square" rtlCol="0"/>
        <a:lstStyle xmlns:a="http://schemas.openxmlformats.org/drawingml/2006/main"/>
        <a:p xmlns:a="http://schemas.openxmlformats.org/drawingml/2006/main">
          <a:r>
            <a:rPr lang="en-US" sz="1100" kern="1200"/>
            <a:t>Subajuste</a:t>
          </a:r>
        </a:p>
      </cdr:txBody>
    </cdr:sp>
  </cdr:relSizeAnchor>
  <cdr:relSizeAnchor xmlns:cdr="http://schemas.openxmlformats.org/drawingml/2006/chartDrawing">
    <cdr:from>
      <cdr:x>0.65104</cdr:x>
      <cdr:y>0.30047</cdr:y>
    </cdr:from>
    <cdr:to>
      <cdr:x>0.86111</cdr:x>
      <cdr:y>0.39382</cdr:y>
    </cdr:to>
    <cdr:sp macro="" textlink="">
      <cdr:nvSpPr>
        <cdr:cNvPr id="5" name="CuadroTexto 4">
          <a:extLst xmlns:a="http://schemas.openxmlformats.org/drawingml/2006/main">
            <a:ext uri="{FF2B5EF4-FFF2-40B4-BE49-F238E27FC236}">
              <a16:creationId xmlns:a16="http://schemas.microsoft.com/office/drawing/2014/main" id="{20A4CA60-7929-EEDB-7D4A-5FBE5EB7B434}"/>
            </a:ext>
          </a:extLst>
        </cdr:cNvPr>
        <cdr:cNvSpPr txBox="1"/>
      </cdr:nvSpPr>
      <cdr:spPr>
        <a:xfrm xmlns:a="http://schemas.openxmlformats.org/drawingml/2006/main">
          <a:off x="2976564" y="817563"/>
          <a:ext cx="960437" cy="254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Sobreajuste</a:t>
          </a:r>
        </a:p>
      </cdr:txBody>
    </cdr:sp>
  </cdr:relSizeAnchor>
</c:userShape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1D10B-206B-41DF-B37E-32248797DC1D}">
  <dimension ref="A1:R43"/>
  <sheetViews>
    <sheetView workbookViewId="0">
      <selection activeCell="B2" sqref="B2:E16"/>
    </sheetView>
  </sheetViews>
  <sheetFormatPr baseColWidth="10" defaultRowHeight="14.5" x14ac:dyDescent="0.35"/>
  <cols>
    <col min="1" max="1" width="11.90625" customWidth="1"/>
    <col min="8" max="8" width="7.36328125" customWidth="1"/>
    <col min="10" max="10" width="8.7265625" customWidth="1"/>
  </cols>
  <sheetData>
    <row r="1" spans="1:10" x14ac:dyDescent="0.35">
      <c r="A1" s="65" t="s">
        <v>55</v>
      </c>
      <c r="B1" s="65"/>
      <c r="C1" s="65"/>
      <c r="D1" s="65"/>
      <c r="E1" s="65"/>
    </row>
    <row r="2" spans="1:10" x14ac:dyDescent="0.35">
      <c r="A2" s="1" t="s">
        <v>0</v>
      </c>
      <c r="B2" s="1" t="s">
        <v>1</v>
      </c>
      <c r="C2" s="1" t="s">
        <v>2</v>
      </c>
      <c r="D2" s="17" t="s">
        <v>33</v>
      </c>
      <c r="E2" s="1" t="s">
        <v>3</v>
      </c>
      <c r="F2" s="28"/>
      <c r="G2" s="28"/>
      <c r="H2" s="28"/>
      <c r="I2" s="28"/>
      <c r="J2" s="28"/>
    </row>
    <row r="3" spans="1:10" x14ac:dyDescent="0.35">
      <c r="A3" s="2">
        <v>1</v>
      </c>
      <c r="B3" s="3" t="s">
        <v>4</v>
      </c>
      <c r="C3" s="3" t="s">
        <v>5</v>
      </c>
      <c r="D3" s="3" t="s">
        <v>6</v>
      </c>
      <c r="E3" s="3" t="s">
        <v>7</v>
      </c>
      <c r="F3" s="7"/>
      <c r="G3" s="7"/>
      <c r="H3" s="7"/>
      <c r="I3" s="7"/>
      <c r="J3" s="7"/>
    </row>
    <row r="4" spans="1:10" x14ac:dyDescent="0.35">
      <c r="A4" s="2">
        <v>2</v>
      </c>
      <c r="B4" s="3" t="s">
        <v>4</v>
      </c>
      <c r="C4" s="3" t="s">
        <v>5</v>
      </c>
      <c r="D4" s="3" t="s">
        <v>8</v>
      </c>
      <c r="E4" s="3" t="s">
        <v>7</v>
      </c>
      <c r="F4" s="7"/>
      <c r="G4" s="7"/>
      <c r="H4" s="7"/>
      <c r="I4" s="7"/>
      <c r="J4" s="7"/>
    </row>
    <row r="5" spans="1:10" x14ac:dyDescent="0.35">
      <c r="A5" s="2">
        <v>3</v>
      </c>
      <c r="B5" s="3" t="s">
        <v>9</v>
      </c>
      <c r="C5" s="3" t="s">
        <v>5</v>
      </c>
      <c r="D5" s="3" t="s">
        <v>6</v>
      </c>
      <c r="E5" s="3" t="s">
        <v>7</v>
      </c>
      <c r="F5" s="7"/>
      <c r="G5" s="7"/>
      <c r="H5" s="7"/>
      <c r="I5" s="7"/>
      <c r="J5" s="7"/>
    </row>
    <row r="6" spans="1:10" x14ac:dyDescent="0.35">
      <c r="A6" s="2">
        <v>4</v>
      </c>
      <c r="B6" s="3" t="s">
        <v>10</v>
      </c>
      <c r="C6" s="3" t="s">
        <v>5</v>
      </c>
      <c r="D6" s="3" t="s">
        <v>6</v>
      </c>
      <c r="E6" s="3" t="s">
        <v>7</v>
      </c>
      <c r="F6" s="7"/>
      <c r="G6" s="7"/>
      <c r="H6" s="7"/>
      <c r="I6" s="7"/>
      <c r="J6" s="7"/>
    </row>
    <row r="7" spans="1:10" x14ac:dyDescent="0.35">
      <c r="A7" s="2">
        <v>5</v>
      </c>
      <c r="B7" s="3" t="s">
        <v>10</v>
      </c>
      <c r="C7" s="3" t="s">
        <v>11</v>
      </c>
      <c r="D7" s="3" t="s">
        <v>6</v>
      </c>
      <c r="E7" s="3" t="s">
        <v>12</v>
      </c>
      <c r="F7" s="7"/>
      <c r="G7" s="7"/>
      <c r="H7" s="7"/>
      <c r="I7" s="7"/>
      <c r="J7" s="7"/>
    </row>
    <row r="8" spans="1:10" x14ac:dyDescent="0.35">
      <c r="A8" s="2">
        <v>6</v>
      </c>
      <c r="B8" s="3" t="s">
        <v>10</v>
      </c>
      <c r="C8" s="3" t="s">
        <v>11</v>
      </c>
      <c r="D8" s="3" t="s">
        <v>8</v>
      </c>
      <c r="E8" s="3" t="s">
        <v>12</v>
      </c>
      <c r="F8" s="7"/>
      <c r="G8" s="7"/>
      <c r="H8" s="7"/>
      <c r="I8" s="7"/>
      <c r="J8" s="7"/>
    </row>
    <row r="9" spans="1:10" x14ac:dyDescent="0.35">
      <c r="A9" s="2">
        <v>7</v>
      </c>
      <c r="B9" s="3" t="s">
        <v>9</v>
      </c>
      <c r="C9" s="3" t="s">
        <v>11</v>
      </c>
      <c r="D9" s="3" t="s">
        <v>8</v>
      </c>
      <c r="E9" s="3" t="s">
        <v>12</v>
      </c>
      <c r="F9" s="7"/>
      <c r="G9" s="7"/>
      <c r="H9" s="7"/>
      <c r="I9" s="7"/>
      <c r="J9" s="7"/>
    </row>
    <row r="10" spans="1:10" x14ac:dyDescent="0.35">
      <c r="A10" s="2">
        <v>8</v>
      </c>
      <c r="B10" s="3" t="s">
        <v>4</v>
      </c>
      <c r="C10" s="3" t="s">
        <v>11</v>
      </c>
      <c r="D10" s="3" t="s">
        <v>6</v>
      </c>
      <c r="E10" s="3" t="s">
        <v>7</v>
      </c>
      <c r="F10" s="7"/>
      <c r="G10" s="7"/>
      <c r="H10" s="7"/>
      <c r="I10" s="7"/>
      <c r="J10" s="7"/>
    </row>
    <row r="11" spans="1:10" x14ac:dyDescent="0.35">
      <c r="A11" s="2">
        <v>9</v>
      </c>
      <c r="B11" s="3" t="s">
        <v>9</v>
      </c>
      <c r="C11" s="3" t="s">
        <v>5</v>
      </c>
      <c r="D11" s="3" t="s">
        <v>8</v>
      </c>
      <c r="E11" s="3" t="s">
        <v>7</v>
      </c>
      <c r="F11" s="7"/>
      <c r="G11" s="7"/>
      <c r="H11" s="7"/>
      <c r="I11" s="7"/>
      <c r="J11" s="7"/>
    </row>
    <row r="12" spans="1:10" x14ac:dyDescent="0.35">
      <c r="A12" s="2">
        <v>10</v>
      </c>
      <c r="B12" s="3" t="s">
        <v>10</v>
      </c>
      <c r="C12" s="3" t="s">
        <v>5</v>
      </c>
      <c r="D12" s="3" t="s">
        <v>8</v>
      </c>
      <c r="E12" s="3" t="s">
        <v>12</v>
      </c>
      <c r="F12" s="7"/>
      <c r="G12" s="7"/>
      <c r="H12" s="7"/>
      <c r="I12" s="7"/>
      <c r="J12" s="7"/>
    </row>
    <row r="13" spans="1:10" x14ac:dyDescent="0.35">
      <c r="A13" s="2">
        <v>11</v>
      </c>
      <c r="B13" s="3" t="s">
        <v>4</v>
      </c>
      <c r="C13" s="3" t="s">
        <v>11</v>
      </c>
      <c r="D13" s="3" t="s">
        <v>8</v>
      </c>
      <c r="E13" s="3" t="s">
        <v>7</v>
      </c>
      <c r="F13" s="7"/>
      <c r="G13" s="7"/>
      <c r="H13" s="7"/>
      <c r="I13" s="7"/>
      <c r="J13" s="7"/>
    </row>
    <row r="14" spans="1:10" x14ac:dyDescent="0.35">
      <c r="A14" s="2">
        <v>12</v>
      </c>
      <c r="B14" s="3" t="s">
        <v>9</v>
      </c>
      <c r="C14" s="3" t="s">
        <v>11</v>
      </c>
      <c r="D14" s="3" t="s">
        <v>6</v>
      </c>
      <c r="E14" s="3" t="s">
        <v>12</v>
      </c>
      <c r="F14" s="7"/>
      <c r="G14" s="7"/>
      <c r="H14" s="7"/>
      <c r="I14" s="7"/>
      <c r="J14" s="7"/>
    </row>
    <row r="15" spans="1:10" x14ac:dyDescent="0.35">
      <c r="A15" s="2">
        <v>13</v>
      </c>
      <c r="B15" s="3" t="s">
        <v>9</v>
      </c>
      <c r="C15" s="3" t="s">
        <v>5</v>
      </c>
      <c r="D15" s="3" t="s">
        <v>6</v>
      </c>
      <c r="E15" s="3" t="s">
        <v>7</v>
      </c>
      <c r="F15" s="7"/>
      <c r="G15" s="7"/>
      <c r="H15" s="7"/>
      <c r="I15" s="7"/>
      <c r="J15" s="7"/>
    </row>
    <row r="16" spans="1:10" x14ac:dyDescent="0.35">
      <c r="A16" s="2">
        <v>14</v>
      </c>
      <c r="B16" s="3" t="s">
        <v>10</v>
      </c>
      <c r="C16" s="3" t="s">
        <v>11</v>
      </c>
      <c r="D16" s="3" t="s">
        <v>6</v>
      </c>
      <c r="E16" s="3" t="s">
        <v>12</v>
      </c>
      <c r="F16" s="7"/>
      <c r="G16" s="7"/>
      <c r="H16" s="7"/>
      <c r="I16" s="7"/>
      <c r="J16" s="7"/>
    </row>
    <row r="17" spans="1:18" ht="15" thickBot="1" x14ac:dyDescent="0.4">
      <c r="A17" s="6"/>
      <c r="B17" s="7"/>
      <c r="C17" s="7"/>
      <c r="D17" s="7"/>
      <c r="E17" s="7"/>
      <c r="F17" s="7"/>
      <c r="G17" s="7"/>
      <c r="H17" s="7"/>
      <c r="I17" s="7"/>
      <c r="J17" s="7"/>
    </row>
    <row r="18" spans="1:18" ht="27" customHeight="1" x14ac:dyDescent="0.35">
      <c r="A18" s="8" t="s">
        <v>22</v>
      </c>
      <c r="B18" s="9"/>
      <c r="C18" s="9"/>
      <c r="D18" s="9"/>
      <c r="E18" s="19"/>
      <c r="F18" s="20" t="s">
        <v>53</v>
      </c>
      <c r="G18" s="19"/>
      <c r="H18" s="19"/>
      <c r="I18" s="19"/>
      <c r="J18" s="19"/>
      <c r="K18" s="9"/>
      <c r="L18" s="9"/>
      <c r="M18" s="9"/>
      <c r="N18" s="38" t="s">
        <v>48</v>
      </c>
      <c r="O18" s="39" t="s">
        <v>49</v>
      </c>
      <c r="P18" s="39" t="s">
        <v>51</v>
      </c>
      <c r="Q18" s="39" t="s">
        <v>50</v>
      </c>
      <c r="R18" s="39" t="s">
        <v>52</v>
      </c>
    </row>
    <row r="19" spans="1:18" x14ac:dyDescent="0.35">
      <c r="F19" s="10"/>
      <c r="J19" s="16"/>
      <c r="N19" s="38" t="s">
        <v>47</v>
      </c>
      <c r="O19" s="41">
        <f>K25</f>
        <v>0.72739667357447924</v>
      </c>
      <c r="P19" s="41">
        <f>$B$25-O19</f>
        <v>0.2578314624597724</v>
      </c>
      <c r="Q19" s="41">
        <f>K26</f>
        <v>0.32653061224489799</v>
      </c>
      <c r="R19" s="41">
        <f>$B$26-Q19</f>
        <v>0.16326530612244905</v>
      </c>
    </row>
    <row r="20" spans="1:18" x14ac:dyDescent="0.35">
      <c r="A20" s="3" t="s">
        <v>15</v>
      </c>
      <c r="B20" s="3" t="s">
        <v>24</v>
      </c>
      <c r="C20" s="3" t="s">
        <v>25</v>
      </c>
      <c r="F20" s="22" t="s">
        <v>28</v>
      </c>
      <c r="N20" s="38" t="s">
        <v>33</v>
      </c>
      <c r="O20" s="41">
        <f>K34</f>
        <v>0.97396228738569413</v>
      </c>
      <c r="P20" s="41">
        <f t="shared" ref="P20:P21" si="0">$B$25-O20</f>
        <v>1.1265848648557508E-2</v>
      </c>
      <c r="Q20" s="41">
        <f>K35</f>
        <v>0.4821428571428571</v>
      </c>
      <c r="R20" s="41">
        <f t="shared" ref="R20:R21" si="1">$B$26-Q20</f>
        <v>7.6530612244899432E-3</v>
      </c>
    </row>
    <row r="21" spans="1:18" x14ac:dyDescent="0.35">
      <c r="A21" s="3" t="s">
        <v>13</v>
      </c>
      <c r="B21" s="4">
        <f>COUNTIF($E$3:$E$16,"Sí")</f>
        <v>8</v>
      </c>
      <c r="C21" s="4">
        <f>B21/$B$23</f>
        <v>0.5714285714285714</v>
      </c>
      <c r="F21" s="23" t="s">
        <v>15</v>
      </c>
      <c r="G21" s="4" t="s">
        <v>16</v>
      </c>
      <c r="H21" s="4" t="s">
        <v>29</v>
      </c>
      <c r="I21" s="4" t="s">
        <v>17</v>
      </c>
      <c r="J21" s="4" t="s">
        <v>29</v>
      </c>
      <c r="N21" s="38" t="s">
        <v>36</v>
      </c>
      <c r="O21" s="41">
        <f>M42</f>
        <v>0.60459953190786819</v>
      </c>
      <c r="P21" s="41">
        <f t="shared" si="0"/>
        <v>0.38062860412638344</v>
      </c>
      <c r="Q21" s="41">
        <f>M43</f>
        <v>0.28571428571428564</v>
      </c>
      <c r="R21" s="41">
        <f t="shared" si="1"/>
        <v>0.2040816326530614</v>
      </c>
    </row>
    <row r="22" spans="1:18" x14ac:dyDescent="0.35">
      <c r="A22" s="3" t="s">
        <v>14</v>
      </c>
      <c r="B22" s="4">
        <f>COUNTIF(E4:E17,"no")</f>
        <v>6</v>
      </c>
      <c r="C22" s="4">
        <f>B22/$B$23</f>
        <v>0.42857142857142855</v>
      </c>
      <c r="F22" s="23" t="s">
        <v>13</v>
      </c>
      <c r="G22" s="4">
        <f>COUNTIFS($C$3:$C$16,"Bueno",$E$3:$E$16,"Sí")</f>
        <v>6</v>
      </c>
      <c r="H22" s="4">
        <f>G22/$G$24</f>
        <v>0.8571428571428571</v>
      </c>
      <c r="I22" s="4">
        <f>COUNTIFS($C$3:$C$16,"Malo",$E$3:$E$16,"Sí")</f>
        <v>2</v>
      </c>
      <c r="J22" s="4">
        <f>I22/$I$24</f>
        <v>0.2857142857142857</v>
      </c>
      <c r="R22" s="11"/>
    </row>
    <row r="23" spans="1:18" ht="14.5" customHeight="1" x14ac:dyDescent="0.35">
      <c r="A23" s="3" t="s">
        <v>26</v>
      </c>
      <c r="B23" s="4">
        <f>SUM(B21:B22)</f>
        <v>14</v>
      </c>
      <c r="C23" s="4">
        <f>SUM(C21:C22)</f>
        <v>1</v>
      </c>
      <c r="F23" s="23" t="s">
        <v>14</v>
      </c>
      <c r="G23" s="4">
        <f>COUNTIFS($C$3:$C$16,"Bueno",$E$3:$E$16,"No")</f>
        <v>1</v>
      </c>
      <c r="H23" s="4">
        <f>G23/$G$24</f>
        <v>0.14285714285714285</v>
      </c>
      <c r="I23" s="4">
        <f>COUNTIFS($C$3:$C$16,"Malo",$E$3:$E$16,"No")</f>
        <v>5</v>
      </c>
      <c r="J23" s="4">
        <f>I23/$I$24</f>
        <v>0.7142857142857143</v>
      </c>
      <c r="N23" s="64" t="s">
        <v>54</v>
      </c>
      <c r="O23" s="64"/>
      <c r="P23" s="64"/>
      <c r="Q23" s="64"/>
      <c r="R23" s="64"/>
    </row>
    <row r="24" spans="1:18" x14ac:dyDescent="0.35">
      <c r="A24" s="10" t="s">
        <v>96</v>
      </c>
      <c r="B24" s="7" t="s">
        <v>97</v>
      </c>
      <c r="F24" s="24" t="s">
        <v>26</v>
      </c>
      <c r="G24" s="18">
        <f>SUM(G22:G23)</f>
        <v>7</v>
      </c>
      <c r="H24" s="18">
        <f t="shared" ref="H24" si="2">SUM(H22:H23)</f>
        <v>1</v>
      </c>
      <c r="I24" s="18">
        <f t="shared" ref="I24" si="3">SUM(I22:I23)</f>
        <v>7</v>
      </c>
      <c r="J24" s="18">
        <f t="shared" ref="J24" si="4">SUM(J22:J23)</f>
        <v>1</v>
      </c>
      <c r="N24" s="64"/>
      <c r="O24" s="64"/>
      <c r="P24" s="64"/>
      <c r="Q24" s="64"/>
      <c r="R24" s="64"/>
    </row>
    <row r="25" spans="1:18" ht="29" x14ac:dyDescent="0.35">
      <c r="A25" s="15" t="s">
        <v>23</v>
      </c>
      <c r="B25" s="35">
        <f>(-C21)*LOG(C21,2)-C22*LOG(C22,2)</f>
        <v>0.98522813603425163</v>
      </c>
      <c r="F25" s="23" t="s">
        <v>32</v>
      </c>
      <c r="G25" s="3" t="s">
        <v>30</v>
      </c>
      <c r="H25" s="3">
        <f>(-H22)*LOG(H22,2)-H23*LOG(H23,2)</f>
        <v>0.59167277858232747</v>
      </c>
      <c r="I25" s="3" t="s">
        <v>31</v>
      </c>
      <c r="J25" s="3">
        <f>(-J22)*LOG(J22,2)-J23*LOG(J23,2)</f>
        <v>0.863120568566631</v>
      </c>
      <c r="K25" s="25">
        <f>G24/B23*H25+J25*I24/B23</f>
        <v>0.72739667357447924</v>
      </c>
      <c r="N25" s="64"/>
      <c r="O25" s="64"/>
      <c r="P25" s="64"/>
      <c r="Q25" s="64"/>
      <c r="R25" s="64"/>
    </row>
    <row r="26" spans="1:18" x14ac:dyDescent="0.35">
      <c r="A26" s="4" t="s">
        <v>27</v>
      </c>
      <c r="B26" s="36">
        <f>1-C21^2-C22^2</f>
        <v>0.48979591836734704</v>
      </c>
      <c r="F26" s="23" t="s">
        <v>39</v>
      </c>
      <c r="G26" s="3" t="s">
        <v>41</v>
      </c>
      <c r="H26" s="3">
        <f>1-H22^2-H23^2</f>
        <v>0.24489795918367355</v>
      </c>
      <c r="I26" s="3" t="s">
        <v>40</v>
      </c>
      <c r="J26" s="3">
        <f>1-J22^2-J23^2</f>
        <v>0.40816326530612246</v>
      </c>
      <c r="K26" s="25">
        <f>G24/$B$23*H26+I24/$B$23*J26</f>
        <v>0.32653061224489799</v>
      </c>
      <c r="N26" s="64"/>
      <c r="O26" s="64"/>
      <c r="P26" s="64"/>
      <c r="Q26" s="64"/>
      <c r="R26" s="64"/>
    </row>
    <row r="27" spans="1:18" x14ac:dyDescent="0.35">
      <c r="F27" s="10"/>
      <c r="N27" s="64"/>
      <c r="O27" s="64"/>
      <c r="P27" s="64"/>
      <c r="Q27" s="64"/>
      <c r="R27" s="64"/>
    </row>
    <row r="28" spans="1:18" x14ac:dyDescent="0.35">
      <c r="F28" s="10"/>
      <c r="N28" s="64"/>
      <c r="O28" s="64"/>
      <c r="P28" s="64"/>
      <c r="Q28" s="64"/>
      <c r="R28" s="64"/>
    </row>
    <row r="29" spans="1:18" ht="15" thickBot="1" x14ac:dyDescent="0.4">
      <c r="A29" s="12"/>
      <c r="B29" s="13"/>
      <c r="C29" s="13"/>
      <c r="D29" s="13"/>
      <c r="E29" s="13"/>
      <c r="F29" s="22" t="s">
        <v>33</v>
      </c>
      <c r="G29" s="4"/>
      <c r="N29" s="64"/>
      <c r="O29" s="64"/>
      <c r="P29" s="64"/>
      <c r="Q29" s="64"/>
      <c r="R29" s="64"/>
    </row>
    <row r="30" spans="1:18" x14ac:dyDescent="0.35">
      <c r="B30" s="5"/>
      <c r="F30" s="23" t="s">
        <v>15</v>
      </c>
      <c r="G30" s="4" t="s">
        <v>18</v>
      </c>
      <c r="H30" s="4" t="s">
        <v>29</v>
      </c>
      <c r="I30" s="4" t="s">
        <v>19</v>
      </c>
      <c r="J30" s="4" t="s">
        <v>29</v>
      </c>
      <c r="R30" s="11"/>
    </row>
    <row r="31" spans="1:18" x14ac:dyDescent="0.35">
      <c r="F31" s="23" t="s">
        <v>13</v>
      </c>
      <c r="G31" s="4">
        <f>COUNTIFS($D$3:$D$16,"Alta",$E$3:$E$16,"Sí")</f>
        <v>3</v>
      </c>
      <c r="H31" s="4">
        <f>G31/G33</f>
        <v>0.5</v>
      </c>
      <c r="I31" s="4">
        <f>COUNTIFS($D$3:$D$16,"Baja",$E$3:$E$16,"Sí")</f>
        <v>5</v>
      </c>
      <c r="J31" s="4">
        <f>I31/$I$33</f>
        <v>0.625</v>
      </c>
      <c r="N31" t="s">
        <v>56</v>
      </c>
      <c r="O31" t="str">
        <f>N21</f>
        <v>Ingreso</v>
      </c>
      <c r="R31" s="11"/>
    </row>
    <row r="32" spans="1:18" x14ac:dyDescent="0.35">
      <c r="F32" s="23" t="s">
        <v>14</v>
      </c>
      <c r="G32" s="4">
        <f>COUNTIFS($D$3:$D$16,"Alta",$E$3:$E$16,"No")</f>
        <v>3</v>
      </c>
      <c r="H32" s="4">
        <f>G32/G33</f>
        <v>0.5</v>
      </c>
      <c r="I32" s="4">
        <f>COUNTIFS($D$3:$D$16,"Baja",$E$3:$E$16,"No")</f>
        <v>3</v>
      </c>
      <c r="J32" s="4">
        <f>I32/I33</f>
        <v>0.375</v>
      </c>
      <c r="R32" s="11"/>
    </row>
    <row r="33" spans="6:18" x14ac:dyDescent="0.35">
      <c r="F33" s="24" t="s">
        <v>26</v>
      </c>
      <c r="G33" s="18">
        <f>SUM(G31:G32)</f>
        <v>6</v>
      </c>
      <c r="H33" s="18">
        <f t="shared" ref="H33" si="5">SUM(H31:H32)</f>
        <v>1</v>
      </c>
      <c r="I33" s="18">
        <f t="shared" ref="I33:J33" si="6">SUM(I31:I32)</f>
        <v>8</v>
      </c>
      <c r="J33" s="18">
        <f t="shared" si="6"/>
        <v>1</v>
      </c>
      <c r="R33" s="11"/>
    </row>
    <row r="34" spans="6:18" ht="27" x14ac:dyDescent="0.35">
      <c r="F34" s="23" t="s">
        <v>32</v>
      </c>
      <c r="G34" s="3" t="s">
        <v>34</v>
      </c>
      <c r="H34" s="3">
        <f>(-H31)*LOG(H31,2)-H32*LOG(H32,2)</f>
        <v>1</v>
      </c>
      <c r="I34" s="3" t="s">
        <v>35</v>
      </c>
      <c r="J34" s="3">
        <f>(-J31)*LOG(J31,2)-J32*LOG(J32,2)</f>
        <v>0.95443400292496494</v>
      </c>
      <c r="K34" s="25">
        <f>G33/$B$23*H34+J34*I33/$B$23</f>
        <v>0.97396228738569413</v>
      </c>
      <c r="R34" s="11"/>
    </row>
    <row r="35" spans="6:18" x14ac:dyDescent="0.35">
      <c r="F35" s="23" t="s">
        <v>39</v>
      </c>
      <c r="G35" s="3" t="s">
        <v>42</v>
      </c>
      <c r="H35" s="3">
        <f>1-H31^2-H32^2</f>
        <v>0.5</v>
      </c>
      <c r="I35" s="3" t="s">
        <v>43</v>
      </c>
      <c r="J35" s="3">
        <f>1-J31^2-J32^2</f>
        <v>0.46875</v>
      </c>
      <c r="K35" s="25">
        <f>G33/$B$23*H35+I33/$B$23*J35</f>
        <v>0.4821428571428571</v>
      </c>
      <c r="R35" s="11"/>
    </row>
    <row r="36" spans="6:18" x14ac:dyDescent="0.35">
      <c r="F36" s="10"/>
      <c r="R36" s="11"/>
    </row>
    <row r="37" spans="6:18" x14ac:dyDescent="0.35">
      <c r="F37" s="22" t="s">
        <v>36</v>
      </c>
      <c r="R37" s="11"/>
    </row>
    <row r="38" spans="6:18" x14ac:dyDescent="0.35">
      <c r="F38" s="3" t="s">
        <v>15</v>
      </c>
      <c r="G38" s="4" t="s">
        <v>37</v>
      </c>
      <c r="H38" s="4" t="s">
        <v>29</v>
      </c>
      <c r="I38" s="4" t="s">
        <v>20</v>
      </c>
      <c r="J38" s="4" t="s">
        <v>29</v>
      </c>
      <c r="K38" s="4" t="s">
        <v>21</v>
      </c>
      <c r="L38" s="4" t="s">
        <v>29</v>
      </c>
      <c r="M38" s="4"/>
      <c r="R38" s="11"/>
    </row>
    <row r="39" spans="6:18" x14ac:dyDescent="0.35">
      <c r="F39" s="3" t="s">
        <v>13</v>
      </c>
      <c r="G39" s="4">
        <f>COUNTIFS($B$3:$B$16,"Alto",$E$3:$E$16,"Sí")</f>
        <v>4</v>
      </c>
      <c r="H39" s="4">
        <f>G39/G41</f>
        <v>1</v>
      </c>
      <c r="I39" s="4">
        <f>COUNTIFS($B$3:$B$16,"Medio",$E$3:$E$16,"Sí")</f>
        <v>3</v>
      </c>
      <c r="J39" s="4">
        <f>I39/I41</f>
        <v>0.6</v>
      </c>
      <c r="K39" s="4">
        <f>COUNTIFS($B$3:$B$16,"Bajo",$E$3:$E$16,"Sí")</f>
        <v>1</v>
      </c>
      <c r="L39" s="4">
        <f>K39/K41</f>
        <v>0.2</v>
      </c>
      <c r="M39" s="4"/>
      <c r="R39" s="11"/>
    </row>
    <row r="40" spans="6:18" x14ac:dyDescent="0.35">
      <c r="F40" s="3" t="s">
        <v>14</v>
      </c>
      <c r="G40" s="4">
        <f>COUNTIFS($B$3:$B$16,"Alto",$E$3:$E$16,"No")</f>
        <v>0</v>
      </c>
      <c r="H40" s="4">
        <f>G40/G41</f>
        <v>0</v>
      </c>
      <c r="I40" s="4">
        <f>COUNTIFS($B$3:$B$16,"Medio",$E$3:$E$16,"No")</f>
        <v>2</v>
      </c>
      <c r="J40" s="4">
        <f>I40/I41</f>
        <v>0.4</v>
      </c>
      <c r="K40" s="4">
        <f>COUNTIFS($B$3:$B$16,"Bajo",$E$3:$E$16,"No")</f>
        <v>4</v>
      </c>
      <c r="L40" s="4">
        <f>K40/K41</f>
        <v>0.8</v>
      </c>
      <c r="M40" s="4"/>
      <c r="R40" s="11"/>
    </row>
    <row r="41" spans="6:18" x14ac:dyDescent="0.35">
      <c r="F41" s="3" t="s">
        <v>26</v>
      </c>
      <c r="G41" s="4">
        <f>SUM(G39:G40)</f>
        <v>4</v>
      </c>
      <c r="H41" s="4">
        <f t="shared" ref="H41" si="7">SUM(H39:H40)</f>
        <v>1</v>
      </c>
      <c r="I41" s="4">
        <f t="shared" ref="I41" si="8">SUM(I39:I40)</f>
        <v>5</v>
      </c>
      <c r="J41" s="4">
        <f t="shared" ref="J41" si="9">SUM(J39:J40)</f>
        <v>1</v>
      </c>
      <c r="K41" s="4">
        <f t="shared" ref="K41" si="10">SUM(K39:K40)</f>
        <v>5</v>
      </c>
      <c r="L41" s="4">
        <f t="shared" ref="L41" si="11">SUM(L39:L40)</f>
        <v>1</v>
      </c>
      <c r="M41" s="4"/>
      <c r="R41" s="11"/>
    </row>
    <row r="42" spans="6:18" ht="27" x14ac:dyDescent="0.35">
      <c r="F42" s="3" t="s">
        <v>32</v>
      </c>
      <c r="G42" s="3" t="s">
        <v>34</v>
      </c>
      <c r="H42" s="3">
        <f>IFERROR((-H39)*LOG(H39,2)-H40*LOG(H40,2),0)</f>
        <v>0</v>
      </c>
      <c r="I42" s="3" t="s">
        <v>35</v>
      </c>
      <c r="J42" s="3">
        <f>(-J39)*LOG(J39,2)-J40*LOG(J40,2)</f>
        <v>0.97095059445466858</v>
      </c>
      <c r="K42" s="3" t="s">
        <v>38</v>
      </c>
      <c r="L42" s="3">
        <f>(-L39)*LOG(L39,2)-L40*LOG(L40,2)</f>
        <v>0.72192809488736231</v>
      </c>
      <c r="M42" s="4">
        <f>H42*G41/$B$23+J42*I41/$B$23+L42*K41/$B$23</f>
        <v>0.60459953190786819</v>
      </c>
      <c r="R42" s="11"/>
    </row>
    <row r="43" spans="6:18" ht="15" thickBot="1" x14ac:dyDescent="0.4">
      <c r="F43" s="3" t="s">
        <v>39</v>
      </c>
      <c r="G43" s="3" t="s">
        <v>44</v>
      </c>
      <c r="H43" s="3">
        <f>1-H39^2-H40^2</f>
        <v>0</v>
      </c>
      <c r="I43" s="3" t="s">
        <v>45</v>
      </c>
      <c r="J43" s="3">
        <f>1-J39^2-J40^2</f>
        <v>0.48</v>
      </c>
      <c r="K43" s="3" t="s">
        <v>46</v>
      </c>
      <c r="L43" s="3">
        <f>1-L39^2-L40^2</f>
        <v>0.31999999999999984</v>
      </c>
      <c r="M43" s="4">
        <f>H43*G41/$B$23+J43*I41/$B$23+L43*K41/$B$23</f>
        <v>0.28571428571428564</v>
      </c>
      <c r="N43" s="13"/>
      <c r="O43" s="13"/>
      <c r="P43" s="13"/>
      <c r="Q43" s="13"/>
      <c r="R43" s="14"/>
    </row>
  </sheetData>
  <mergeCells count="2">
    <mergeCell ref="N23:R29"/>
    <mergeCell ref="A1:E1"/>
  </mergeCells>
  <pageMargins left="0.7" right="0.7" top="0.75" bottom="0.75" header="0.3" footer="0.3"/>
  <pageSetup paperSize="9" orientation="portrait" r:id="rId1"/>
  <ignoredErrors>
    <ignoredError sqref="I32 I39:K40"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C049A-C847-4BB9-8330-B0672BDF927D}">
  <sheetPr filterMode="1"/>
  <dimension ref="A2:S68"/>
  <sheetViews>
    <sheetView zoomScale="70" zoomScaleNormal="70" workbookViewId="0">
      <selection activeCell="S44" sqref="J17:S44"/>
    </sheetView>
  </sheetViews>
  <sheetFormatPr baseColWidth="10" defaultRowHeight="14.5" x14ac:dyDescent="0.35"/>
  <cols>
    <col min="2" max="2" width="12.36328125" customWidth="1"/>
    <col min="13" max="13" width="12.08984375" customWidth="1"/>
  </cols>
  <sheetData>
    <row r="2" spans="1:14" x14ac:dyDescent="0.35">
      <c r="A2" s="1" t="s">
        <v>0</v>
      </c>
      <c r="B2" s="1" t="s">
        <v>1</v>
      </c>
      <c r="C2" s="1" t="s">
        <v>2</v>
      </c>
      <c r="D2" s="17" t="s">
        <v>33</v>
      </c>
      <c r="E2" s="1" t="s">
        <v>3</v>
      </c>
    </row>
    <row r="3" spans="1:14" x14ac:dyDescent="0.35">
      <c r="A3" s="2">
        <v>1</v>
      </c>
      <c r="B3" s="3" t="s">
        <v>4</v>
      </c>
      <c r="C3" s="3" t="s">
        <v>5</v>
      </c>
      <c r="D3" s="3" t="s">
        <v>6</v>
      </c>
      <c r="E3" s="3" t="s">
        <v>7</v>
      </c>
    </row>
    <row r="4" spans="1:14" x14ac:dyDescent="0.35">
      <c r="A4" s="2">
        <v>2</v>
      </c>
      <c r="B4" s="3" t="s">
        <v>4</v>
      </c>
      <c r="C4" s="3" t="s">
        <v>5</v>
      </c>
      <c r="D4" s="3" t="s">
        <v>8</v>
      </c>
      <c r="E4" s="3" t="s">
        <v>7</v>
      </c>
    </row>
    <row r="5" spans="1:14" hidden="1" x14ac:dyDescent="0.35">
      <c r="A5" s="2">
        <v>3</v>
      </c>
      <c r="B5" s="3" t="s">
        <v>9</v>
      </c>
      <c r="C5" s="3" t="s">
        <v>5</v>
      </c>
      <c r="D5" s="3" t="s">
        <v>6</v>
      </c>
      <c r="E5" s="3" t="s">
        <v>7</v>
      </c>
    </row>
    <row r="6" spans="1:14" hidden="1" x14ac:dyDescent="0.35">
      <c r="A6" s="2">
        <v>4</v>
      </c>
      <c r="B6" s="3" t="s">
        <v>10</v>
      </c>
      <c r="C6" s="3" t="s">
        <v>5</v>
      </c>
      <c r="D6" s="3" t="s">
        <v>6</v>
      </c>
      <c r="E6" s="3" t="s">
        <v>7</v>
      </c>
    </row>
    <row r="7" spans="1:14" hidden="1" x14ac:dyDescent="0.35">
      <c r="A7" s="2">
        <v>5</v>
      </c>
      <c r="B7" s="3" t="s">
        <v>10</v>
      </c>
      <c r="C7" s="3" t="s">
        <v>11</v>
      </c>
      <c r="D7" s="3" t="s">
        <v>6</v>
      </c>
      <c r="E7" s="3" t="s">
        <v>12</v>
      </c>
    </row>
    <row r="8" spans="1:14" ht="15" hidden="1" thickBot="1" x14ac:dyDescent="0.4">
      <c r="A8" s="2">
        <v>6</v>
      </c>
      <c r="B8" s="3" t="s">
        <v>10</v>
      </c>
      <c r="C8" s="3" t="s">
        <v>11</v>
      </c>
      <c r="D8" s="3" t="s">
        <v>8</v>
      </c>
      <c r="E8" s="3" t="s">
        <v>12</v>
      </c>
      <c r="L8" s="66" t="s">
        <v>74</v>
      </c>
      <c r="M8" s="67"/>
      <c r="N8" s="68"/>
    </row>
    <row r="9" spans="1:14" hidden="1" x14ac:dyDescent="0.35">
      <c r="A9" s="2">
        <v>7</v>
      </c>
      <c r="B9" s="3" t="s">
        <v>9</v>
      </c>
      <c r="C9" s="3" t="s">
        <v>11</v>
      </c>
      <c r="D9" s="3" t="s">
        <v>8</v>
      </c>
      <c r="E9" s="3" t="s">
        <v>12</v>
      </c>
    </row>
    <row r="10" spans="1:14" x14ac:dyDescent="0.35">
      <c r="A10" s="2">
        <v>8</v>
      </c>
      <c r="B10" s="3" t="s">
        <v>4</v>
      </c>
      <c r="C10" s="3" t="s">
        <v>11</v>
      </c>
      <c r="D10" s="3" t="s">
        <v>6</v>
      </c>
      <c r="E10" s="3" t="s">
        <v>7</v>
      </c>
    </row>
    <row r="11" spans="1:14" hidden="1" x14ac:dyDescent="0.35">
      <c r="A11" s="2">
        <v>9</v>
      </c>
      <c r="B11" s="3" t="s">
        <v>9</v>
      </c>
      <c r="C11" s="3" t="s">
        <v>5</v>
      </c>
      <c r="D11" s="3" t="s">
        <v>8</v>
      </c>
      <c r="E11" s="3" t="s">
        <v>7</v>
      </c>
    </row>
    <row r="12" spans="1:14" hidden="1" x14ac:dyDescent="0.35">
      <c r="A12" s="2">
        <v>10</v>
      </c>
      <c r="B12" s="3" t="s">
        <v>10</v>
      </c>
      <c r="C12" s="3" t="s">
        <v>5</v>
      </c>
      <c r="D12" s="3" t="s">
        <v>8</v>
      </c>
      <c r="E12" s="3" t="s">
        <v>12</v>
      </c>
    </row>
    <row r="13" spans="1:14" ht="15" thickBot="1" x14ac:dyDescent="0.4">
      <c r="A13" s="2">
        <v>11</v>
      </c>
      <c r="B13" s="3" t="s">
        <v>4</v>
      </c>
      <c r="C13" s="3" t="s">
        <v>11</v>
      </c>
      <c r="D13" s="3" t="s">
        <v>8</v>
      </c>
      <c r="E13" s="3" t="s">
        <v>7</v>
      </c>
    </row>
    <row r="14" spans="1:14" ht="15" hidden="1" thickBot="1" x14ac:dyDescent="0.4">
      <c r="A14" s="2">
        <v>12</v>
      </c>
      <c r="B14" s="3" t="s">
        <v>9</v>
      </c>
      <c r="C14" s="3" t="s">
        <v>11</v>
      </c>
      <c r="D14" s="3" t="s">
        <v>6</v>
      </c>
      <c r="E14" s="3" t="s">
        <v>12</v>
      </c>
    </row>
    <row r="15" spans="1:14" ht="15" hidden="1" thickBot="1" x14ac:dyDescent="0.4">
      <c r="A15" s="2">
        <v>13</v>
      </c>
      <c r="B15" s="3" t="s">
        <v>9</v>
      </c>
      <c r="C15" s="3" t="s">
        <v>5</v>
      </c>
      <c r="D15" s="3" t="s">
        <v>6</v>
      </c>
      <c r="E15" s="3" t="s">
        <v>7</v>
      </c>
    </row>
    <row r="16" spans="1:14" ht="15" hidden="1" thickBot="1" x14ac:dyDescent="0.4">
      <c r="A16" s="2">
        <v>14</v>
      </c>
      <c r="B16" s="3" t="s">
        <v>10</v>
      </c>
      <c r="C16" s="3" t="s">
        <v>11</v>
      </c>
      <c r="D16" s="3" t="s">
        <v>6</v>
      </c>
      <c r="E16" s="3" t="s">
        <v>12</v>
      </c>
    </row>
    <row r="17" spans="1:19" ht="15" thickBot="1" x14ac:dyDescent="0.4">
      <c r="I17" t="s">
        <v>94</v>
      </c>
      <c r="J17" s="42"/>
      <c r="K17" s="42"/>
      <c r="L17" s="42"/>
      <c r="M17" s="43" t="s">
        <v>75</v>
      </c>
      <c r="N17" s="42"/>
      <c r="O17" s="42"/>
      <c r="P17" s="42"/>
      <c r="Q17" s="42"/>
      <c r="R17" s="42"/>
      <c r="S17" s="42"/>
    </row>
    <row r="18" spans="1:19" x14ac:dyDescent="0.35">
      <c r="A18" s="8" t="s">
        <v>22</v>
      </c>
      <c r="B18" s="9"/>
      <c r="C18" s="9"/>
      <c r="D18" s="9"/>
      <c r="E18" s="9"/>
      <c r="F18" s="9"/>
      <c r="G18" s="9"/>
      <c r="H18" s="9"/>
      <c r="I18" s="10"/>
      <c r="J18" s="42"/>
      <c r="K18" s="42"/>
      <c r="L18" s="42"/>
      <c r="M18" s="44" t="s">
        <v>76</v>
      </c>
      <c r="N18" s="42"/>
      <c r="O18" s="42"/>
      <c r="P18" s="42"/>
      <c r="Q18" s="42"/>
      <c r="R18" s="42"/>
      <c r="S18" s="42"/>
    </row>
    <row r="19" spans="1:19" ht="15" thickBot="1" x14ac:dyDescent="0.4">
      <c r="A19" s="10" t="s">
        <v>57</v>
      </c>
      <c r="I19" s="10"/>
      <c r="J19" s="42"/>
      <c r="K19" s="42"/>
      <c r="L19" s="42"/>
      <c r="M19" s="45" t="s">
        <v>88</v>
      </c>
      <c r="N19" s="42"/>
      <c r="O19" s="42"/>
      <c r="P19" s="42"/>
      <c r="Q19" s="42"/>
      <c r="R19" s="42"/>
      <c r="S19" s="42"/>
    </row>
    <row r="20" spans="1:19" x14ac:dyDescent="0.35">
      <c r="A20" s="10"/>
      <c r="I20" s="10"/>
      <c r="J20" s="42"/>
      <c r="K20" s="42"/>
      <c r="L20" s="42"/>
      <c r="M20" s="42"/>
      <c r="N20" s="42"/>
      <c r="O20" s="42"/>
      <c r="P20" s="42"/>
      <c r="Q20" s="42"/>
      <c r="R20" s="42"/>
      <c r="S20" s="42"/>
    </row>
    <row r="21" spans="1:19" ht="15" thickBot="1" x14ac:dyDescent="0.4">
      <c r="A21" s="10"/>
      <c r="B21" s="4" t="s">
        <v>37</v>
      </c>
      <c r="C21" s="4" t="s">
        <v>29</v>
      </c>
      <c r="D21" s="4" t="s">
        <v>20</v>
      </c>
      <c r="E21" s="4" t="s">
        <v>29</v>
      </c>
      <c r="F21" s="4" t="s">
        <v>21</v>
      </c>
      <c r="G21" s="4" t="s">
        <v>29</v>
      </c>
      <c r="I21" s="10"/>
      <c r="J21" s="42"/>
      <c r="K21" s="42"/>
      <c r="L21" s="42"/>
      <c r="M21" s="42"/>
      <c r="N21" s="42"/>
      <c r="O21" s="42"/>
      <c r="P21" s="42"/>
      <c r="Q21" s="42"/>
      <c r="R21" s="42"/>
      <c r="S21" s="42"/>
    </row>
    <row r="22" spans="1:19" x14ac:dyDescent="0.35">
      <c r="A22" s="31" t="s">
        <v>7</v>
      </c>
      <c r="B22" s="4">
        <f>COUNTIFS($B$3:$B$16,$B$21,$E$3:$E$16,"Sí")</f>
        <v>4</v>
      </c>
      <c r="C22" s="4">
        <f>B22/B24</f>
        <v>1</v>
      </c>
      <c r="D22" s="4">
        <f>COUNTIFS($B$3:$B$16,$D$21,$E$3:$E$16,A22)</f>
        <v>3</v>
      </c>
      <c r="E22" s="4">
        <f>D22/D24</f>
        <v>0.6</v>
      </c>
      <c r="F22" s="4">
        <f>COUNTIFS($B$3:$B$16,F21,$E$3:$E$16,A22)</f>
        <v>1</v>
      </c>
      <c r="G22" s="4">
        <f>F22/F24</f>
        <v>0.2</v>
      </c>
      <c r="I22" s="10"/>
      <c r="J22" s="43" t="s">
        <v>37</v>
      </c>
      <c r="K22" s="42"/>
      <c r="L22" s="42"/>
      <c r="M22" s="43" t="s">
        <v>20</v>
      </c>
      <c r="N22" s="42"/>
      <c r="O22" s="42"/>
      <c r="P22" s="43" t="s">
        <v>21</v>
      </c>
      <c r="Q22" s="42"/>
      <c r="R22" s="42"/>
      <c r="S22" s="42"/>
    </row>
    <row r="23" spans="1:19" ht="15" thickBot="1" x14ac:dyDescent="0.4">
      <c r="A23" s="31" t="s">
        <v>12</v>
      </c>
      <c r="B23" s="4">
        <f>COUNTIFS($B$3:$B$16,"Alto",$E$3:$E$16,"No")</f>
        <v>0</v>
      </c>
      <c r="C23" s="4">
        <v>0</v>
      </c>
      <c r="D23" s="4">
        <f>COUNTIFS($B$3:$B$16,$D$21,$E$3:$E$16,A23)</f>
        <v>2</v>
      </c>
      <c r="E23" s="4">
        <f>D23/D24</f>
        <v>0.4</v>
      </c>
      <c r="F23" s="4">
        <f>COUNTIFS($B$3:$B$16,$F$21,$E$3:$E$16,A23)</f>
        <v>4</v>
      </c>
      <c r="G23" s="4">
        <f>F23/F24</f>
        <v>0.8</v>
      </c>
      <c r="I23" s="10"/>
      <c r="J23" s="44" t="s">
        <v>77</v>
      </c>
      <c r="K23" s="42"/>
      <c r="L23" s="42"/>
      <c r="M23" s="45" t="s">
        <v>79</v>
      </c>
      <c r="N23" s="42"/>
      <c r="O23" s="42"/>
      <c r="P23" s="45" t="s">
        <v>87</v>
      </c>
      <c r="Q23" s="42"/>
      <c r="R23" s="42"/>
      <c r="S23" s="42"/>
    </row>
    <row r="24" spans="1:19" ht="15" thickBot="1" x14ac:dyDescent="0.4">
      <c r="A24" s="10"/>
      <c r="B24" s="4">
        <f>SUM(B22:B23)</f>
        <v>4</v>
      </c>
      <c r="C24" s="4">
        <f t="shared" ref="C24:G24" si="0">SUM(C22:C23)</f>
        <v>1</v>
      </c>
      <c r="D24" s="4">
        <f t="shared" si="0"/>
        <v>5</v>
      </c>
      <c r="E24" s="4">
        <f t="shared" si="0"/>
        <v>1</v>
      </c>
      <c r="F24" s="4">
        <f t="shared" si="0"/>
        <v>5</v>
      </c>
      <c r="G24" s="4">
        <f t="shared" si="0"/>
        <v>1</v>
      </c>
      <c r="I24" s="10"/>
      <c r="J24" s="45" t="s">
        <v>78</v>
      </c>
      <c r="K24" s="42"/>
      <c r="L24" s="42"/>
      <c r="M24" s="42"/>
      <c r="N24" s="42"/>
      <c r="O24" s="42"/>
      <c r="P24" s="42"/>
      <c r="Q24" s="42"/>
      <c r="R24" s="42"/>
      <c r="S24" s="42"/>
    </row>
    <row r="25" spans="1:19" x14ac:dyDescent="0.35">
      <c r="A25" s="10"/>
      <c r="B25" t="s">
        <v>62</v>
      </c>
      <c r="C25" s="3">
        <f>IFERROR((-C22)*LOG(C22,2)-C23*LOG(C23,2),0)</f>
        <v>0</v>
      </c>
      <c r="D25" t="s">
        <v>63</v>
      </c>
      <c r="E25" s="30">
        <f>IFERROR((-E22)*LOG(E22,2)-E23*LOG(E23,2),0)</f>
        <v>0.97095059445466858</v>
      </c>
      <c r="F25" s="32" t="s">
        <v>64</v>
      </c>
      <c r="G25" s="30">
        <f>IFERROR((-G22)*LOG(G22,2)-G23*LOG(G23,2),0)</f>
        <v>0.72192809488736231</v>
      </c>
      <c r="I25" s="10"/>
      <c r="J25" s="42"/>
      <c r="K25" s="42"/>
      <c r="L25" s="42"/>
      <c r="M25" s="42"/>
      <c r="N25" s="42"/>
      <c r="O25" s="42"/>
      <c r="P25" s="42"/>
      <c r="Q25" s="42"/>
      <c r="R25" s="42"/>
      <c r="S25" s="42"/>
    </row>
    <row r="26" spans="1:19" ht="15" thickBot="1" x14ac:dyDescent="0.4">
      <c r="A26" s="10"/>
      <c r="C26" s="7" t="s">
        <v>58</v>
      </c>
      <c r="D26" t="s">
        <v>59</v>
      </c>
      <c r="E26" s="7"/>
      <c r="F26" t="s">
        <v>59</v>
      </c>
      <c r="G26" s="7"/>
      <c r="I26" s="10"/>
      <c r="J26" s="42"/>
      <c r="K26" s="42"/>
      <c r="L26" s="42"/>
      <c r="M26" s="42"/>
      <c r="N26" s="42"/>
      <c r="O26" s="42"/>
      <c r="P26" s="42"/>
      <c r="Q26" s="42"/>
      <c r="R26" s="42"/>
      <c r="S26" s="42"/>
    </row>
    <row r="27" spans="1:19" ht="15" thickBot="1" x14ac:dyDescent="0.4">
      <c r="A27" s="8" t="s">
        <v>60</v>
      </c>
      <c r="B27" s="9"/>
      <c r="C27" s="9"/>
      <c r="D27" s="9"/>
      <c r="E27" s="9"/>
      <c r="F27" s="9"/>
      <c r="G27" s="9"/>
      <c r="H27" s="9"/>
      <c r="I27" s="10"/>
      <c r="J27" s="46" t="s">
        <v>85</v>
      </c>
      <c r="K27" s="42"/>
      <c r="L27" s="42"/>
      <c r="M27" s="43" t="s">
        <v>47</v>
      </c>
      <c r="N27" s="42"/>
      <c r="O27" s="42"/>
      <c r="P27" s="42"/>
      <c r="Q27" s="43" t="s">
        <v>47</v>
      </c>
      <c r="R27" s="42"/>
      <c r="S27" s="42"/>
    </row>
    <row r="28" spans="1:19" x14ac:dyDescent="0.35">
      <c r="A28" s="27"/>
      <c r="B28" s="4" t="s">
        <v>16</v>
      </c>
      <c r="C28" s="4" t="s">
        <v>29</v>
      </c>
      <c r="D28" s="4" t="s">
        <v>17</v>
      </c>
      <c r="E28" s="4" t="s">
        <v>29</v>
      </c>
      <c r="F28" s="29" t="s">
        <v>69</v>
      </c>
      <c r="I28" s="10"/>
      <c r="J28" s="42"/>
      <c r="K28" s="42"/>
      <c r="L28" s="42"/>
      <c r="M28" s="44" t="s">
        <v>79</v>
      </c>
      <c r="N28" s="42"/>
      <c r="O28" s="42"/>
      <c r="P28" s="42"/>
      <c r="Q28" s="44" t="s">
        <v>79</v>
      </c>
      <c r="R28" s="42"/>
      <c r="S28" s="42"/>
    </row>
    <row r="29" spans="1:19" ht="15" thickBot="1" x14ac:dyDescent="0.4">
      <c r="A29" s="23" t="s">
        <v>7</v>
      </c>
      <c r="B29" s="4">
        <f>COUNTIFS($B$3:$B$16,"Medio",$C$3:$C$16,"Bueno",$E$3:$E$16,"Sí")</f>
        <v>3</v>
      </c>
      <c r="C29" s="4">
        <f>B29/$B$31</f>
        <v>1</v>
      </c>
      <c r="D29" s="4">
        <f>COUNTIFS($B$3:$B$16,"Medio",$C$3:$C$16,"Malo",$E$3:$E$16,"Sí")</f>
        <v>0</v>
      </c>
      <c r="E29" s="4">
        <f>D29/$D$31</f>
        <v>0</v>
      </c>
      <c r="F29" t="s">
        <v>73</v>
      </c>
      <c r="I29" s="10"/>
      <c r="J29" s="42"/>
      <c r="K29" s="42"/>
      <c r="L29" s="42"/>
      <c r="M29" s="45" t="s">
        <v>80</v>
      </c>
      <c r="N29" s="42"/>
      <c r="O29" s="42"/>
      <c r="P29" s="42"/>
      <c r="Q29" s="45" t="s">
        <v>89</v>
      </c>
      <c r="R29" s="42"/>
      <c r="S29" s="42"/>
    </row>
    <row r="30" spans="1:19" x14ac:dyDescent="0.35">
      <c r="A30" s="23" t="s">
        <v>12</v>
      </c>
      <c r="B30" s="4">
        <f>COUNTIFS($B$3:$B$16,"Medio",$C$3:$C$16,"Bueno",$E$3:$E$16,"No")</f>
        <v>0</v>
      </c>
      <c r="C30" s="4">
        <f>B30/$B$31</f>
        <v>0</v>
      </c>
      <c r="D30" s="4">
        <f>COUNTIFS($B$3:$B$16,"Medio",$C$3:$C$16,"Malo",$E$3:$E$16,"No")</f>
        <v>2</v>
      </c>
      <c r="E30" s="4">
        <f>D30/$D$31</f>
        <v>1</v>
      </c>
      <c r="I30" s="10"/>
      <c r="J30" s="42"/>
      <c r="K30" s="42"/>
      <c r="L30" s="42"/>
      <c r="M30" s="42"/>
      <c r="N30" s="42"/>
      <c r="O30" s="42"/>
      <c r="P30" s="42"/>
      <c r="Q30" s="42"/>
      <c r="R30" s="42"/>
      <c r="S30" s="42"/>
    </row>
    <row r="31" spans="1:19" ht="15" thickBot="1" x14ac:dyDescent="0.4">
      <c r="A31" s="27" t="s">
        <v>26</v>
      </c>
      <c r="B31" s="4">
        <f>SUM(B29:B30)</f>
        <v>3</v>
      </c>
      <c r="C31" s="4">
        <f t="shared" ref="C31:E31" si="1">SUM(C29:C30)</f>
        <v>1</v>
      </c>
      <c r="D31" s="4">
        <f t="shared" si="1"/>
        <v>2</v>
      </c>
      <c r="E31" s="4">
        <f t="shared" si="1"/>
        <v>1</v>
      </c>
      <c r="I31" s="10"/>
      <c r="J31" s="42"/>
      <c r="K31" s="42"/>
      <c r="L31" s="42"/>
      <c r="M31" s="42"/>
      <c r="N31" s="42"/>
      <c r="O31" s="42"/>
      <c r="P31" s="42"/>
      <c r="Q31" s="42"/>
      <c r="R31" s="42"/>
      <c r="S31" s="42"/>
    </row>
    <row r="32" spans="1:19" ht="29.5" thickBot="1" x14ac:dyDescent="0.4">
      <c r="A32" s="10"/>
      <c r="B32" s="15" t="s">
        <v>30</v>
      </c>
      <c r="C32" s="30">
        <f>IFERROR((-C29)*LOG(C29,2)-C30*LOG(C30,2),0)</f>
        <v>0</v>
      </c>
      <c r="D32" s="4" t="s">
        <v>31</v>
      </c>
      <c r="E32" s="30">
        <f>IFERROR((-E29)*LOG(E29,2)-E30*LOG(E30,2),0)</f>
        <v>0</v>
      </c>
      <c r="I32" s="10"/>
      <c r="J32" s="42"/>
      <c r="K32" s="42"/>
      <c r="L32" s="43" t="s">
        <v>16</v>
      </c>
      <c r="M32" s="42"/>
      <c r="N32" s="43" t="s">
        <v>17</v>
      </c>
      <c r="O32" s="42"/>
      <c r="P32" s="43" t="s">
        <v>17</v>
      </c>
      <c r="Q32" s="42"/>
      <c r="R32" s="46" t="s">
        <v>16</v>
      </c>
      <c r="S32" s="42"/>
    </row>
    <row r="33" spans="1:19" ht="29.5" thickBot="1" x14ac:dyDescent="0.4">
      <c r="A33" s="10"/>
      <c r="B33" s="15" t="s">
        <v>65</v>
      </c>
      <c r="C33" s="4">
        <f>C32*B31/D24+E32*D31/D24</f>
        <v>0</v>
      </c>
      <c r="I33" s="10"/>
      <c r="J33" s="42"/>
      <c r="K33" s="42"/>
      <c r="L33" s="44" t="s">
        <v>81</v>
      </c>
      <c r="M33" s="42"/>
      <c r="N33" s="44" t="s">
        <v>83</v>
      </c>
      <c r="O33" s="42"/>
      <c r="P33" s="44" t="s">
        <v>81</v>
      </c>
      <c r="Q33" s="42"/>
      <c r="R33" s="42"/>
      <c r="S33" s="42"/>
    </row>
    <row r="34" spans="1:19" ht="15" thickBot="1" x14ac:dyDescent="0.4">
      <c r="A34" s="12"/>
      <c r="B34" s="33" t="s">
        <v>66</v>
      </c>
      <c r="C34" s="34">
        <f>E25-C33</f>
        <v>0.97095059445466858</v>
      </c>
      <c r="D34" s="13"/>
      <c r="E34" s="13"/>
      <c r="F34" s="13"/>
      <c r="G34" s="13"/>
      <c r="H34" s="13"/>
      <c r="I34" s="10"/>
      <c r="J34" s="42"/>
      <c r="K34" s="42"/>
      <c r="L34" s="45" t="s">
        <v>82</v>
      </c>
      <c r="M34" s="42"/>
      <c r="N34" s="45" t="s">
        <v>84</v>
      </c>
      <c r="O34" s="42"/>
      <c r="P34" s="45" t="s">
        <v>90</v>
      </c>
      <c r="Q34" s="42"/>
      <c r="R34" s="43" t="s">
        <v>33</v>
      </c>
      <c r="S34" s="42"/>
    </row>
    <row r="35" spans="1:19" ht="15" thickBot="1" x14ac:dyDescent="0.4">
      <c r="A35" s="10"/>
      <c r="I35" s="10"/>
      <c r="J35" s="42"/>
      <c r="K35" s="42"/>
      <c r="L35" s="42"/>
      <c r="M35" s="42"/>
      <c r="N35" s="42"/>
      <c r="O35" s="42"/>
      <c r="P35" s="42"/>
      <c r="Q35" s="42"/>
      <c r="R35" s="44" t="s">
        <v>91</v>
      </c>
      <c r="S35" s="42"/>
    </row>
    <row r="36" spans="1:19" ht="15" thickBot="1" x14ac:dyDescent="0.4">
      <c r="A36" s="8" t="s">
        <v>61</v>
      </c>
      <c r="B36" s="9"/>
      <c r="C36" s="9"/>
      <c r="D36" s="9"/>
      <c r="E36" s="9"/>
      <c r="F36" s="9"/>
      <c r="G36" s="9"/>
      <c r="H36" s="9"/>
      <c r="I36" s="10"/>
      <c r="J36" s="42"/>
      <c r="K36" s="42"/>
      <c r="L36" s="42"/>
      <c r="M36" s="42"/>
      <c r="N36" s="42"/>
      <c r="O36" s="42"/>
      <c r="P36" s="42"/>
      <c r="Q36" s="42"/>
      <c r="R36" s="45" t="s">
        <v>92</v>
      </c>
      <c r="S36" s="42"/>
    </row>
    <row r="37" spans="1:19" ht="15" thickBot="1" x14ac:dyDescent="0.4">
      <c r="A37" s="27"/>
      <c r="B37" s="4" t="s">
        <v>16</v>
      </c>
      <c r="C37" s="4" t="s">
        <v>29</v>
      </c>
      <c r="D37" s="4" t="s">
        <v>17</v>
      </c>
      <c r="E37" s="4" t="s">
        <v>29</v>
      </c>
      <c r="I37" s="10"/>
      <c r="J37" s="42"/>
      <c r="K37" s="42"/>
      <c r="L37" s="46" t="s">
        <v>85</v>
      </c>
      <c r="M37" s="42"/>
      <c r="N37" s="46" t="s">
        <v>86</v>
      </c>
      <c r="O37" s="42"/>
      <c r="P37" s="46" t="s">
        <v>86</v>
      </c>
      <c r="Q37" s="42"/>
      <c r="R37" s="42"/>
      <c r="S37" s="42"/>
    </row>
    <row r="38" spans="1:19" ht="15" thickBot="1" x14ac:dyDescent="0.4">
      <c r="A38" s="23" t="s">
        <v>7</v>
      </c>
      <c r="B38" s="4">
        <f>COUNTIFS($B$3:$B$16,"Bajo",$C$3:$C$16,"Bueno",$E$3:$E$16,"Sí")</f>
        <v>1</v>
      </c>
      <c r="C38" s="4">
        <f>B38/B40</f>
        <v>0.5</v>
      </c>
      <c r="D38" s="4">
        <f>COUNTIFS($B$3:$B$16,"Bajo",$C$3:$C$16,"Malo",$E$3:$E$16,"Sí")</f>
        <v>0</v>
      </c>
      <c r="E38" s="4">
        <f>D38/D40</f>
        <v>0</v>
      </c>
      <c r="I38" s="10"/>
      <c r="J38" s="42"/>
      <c r="K38" s="42"/>
      <c r="L38" s="42"/>
      <c r="M38" s="42"/>
      <c r="N38" s="42"/>
      <c r="O38" s="42"/>
      <c r="P38" s="42"/>
      <c r="Q38" s="42"/>
      <c r="R38" s="42"/>
      <c r="S38" s="42"/>
    </row>
    <row r="39" spans="1:19" x14ac:dyDescent="0.35">
      <c r="A39" s="23" t="s">
        <v>12</v>
      </c>
      <c r="B39" s="4">
        <f>COUNTIFS($B$3:$B$16,"Bajo",$C$3:$C$16,"Bueno",$E$3:$E$16,"No")</f>
        <v>1</v>
      </c>
      <c r="C39" s="4">
        <f>B39/B40</f>
        <v>0.5</v>
      </c>
      <c r="D39" s="4">
        <f>COUNTIFS($B$3:$B$16,"Bajo",$C$3:$C$16,"Malo",$E$3:$E$16,"No")</f>
        <v>3</v>
      </c>
      <c r="E39" s="4">
        <f>D39/D40</f>
        <v>1</v>
      </c>
      <c r="I39" s="10"/>
      <c r="J39" s="42"/>
      <c r="K39" s="42"/>
      <c r="L39" s="42"/>
      <c r="M39" s="42"/>
      <c r="N39" s="42"/>
      <c r="O39" s="42"/>
      <c r="P39" s="42"/>
      <c r="Q39" s="47" t="s">
        <v>19</v>
      </c>
      <c r="R39" s="42"/>
      <c r="S39" s="48" t="s">
        <v>18</v>
      </c>
    </row>
    <row r="40" spans="1:19" x14ac:dyDescent="0.35">
      <c r="A40" s="27" t="s">
        <v>26</v>
      </c>
      <c r="B40" s="4">
        <f>SUM(B38:B39)</f>
        <v>2</v>
      </c>
      <c r="C40" s="4">
        <f t="shared" ref="C40" si="2">SUM(C38:C39)</f>
        <v>1</v>
      </c>
      <c r="D40" s="4">
        <f t="shared" ref="D40" si="3">SUM(D38:D39)</f>
        <v>3</v>
      </c>
      <c r="E40" s="4">
        <f t="shared" ref="E40" si="4">SUM(E38:E39)</f>
        <v>1</v>
      </c>
      <c r="I40" s="10"/>
      <c r="J40" s="42"/>
      <c r="K40" s="42"/>
      <c r="L40" s="42"/>
      <c r="M40" s="42"/>
      <c r="N40" s="42"/>
      <c r="O40" s="42"/>
      <c r="P40" s="42"/>
      <c r="Q40" s="44" t="s">
        <v>93</v>
      </c>
      <c r="R40" s="42"/>
      <c r="S40" s="44" t="s">
        <v>93</v>
      </c>
    </row>
    <row r="41" spans="1:19" ht="29.5" thickBot="1" x14ac:dyDescent="0.4">
      <c r="A41" s="10"/>
      <c r="B41" s="15" t="s">
        <v>30</v>
      </c>
      <c r="C41" s="30">
        <f>IFERROR((-C38)*LOG(C38,2)-C39*LOG(C39,2),0)</f>
        <v>1</v>
      </c>
      <c r="D41" s="15" t="s">
        <v>31</v>
      </c>
      <c r="E41" s="30">
        <f>IFERROR((-E38)*LOG(E38,2)-E39*LOG(E39,2),0)</f>
        <v>0</v>
      </c>
      <c r="I41" s="10"/>
      <c r="J41" s="42"/>
      <c r="K41" s="42"/>
      <c r="L41" s="42"/>
      <c r="M41" s="42"/>
      <c r="N41" s="42"/>
      <c r="O41" s="42"/>
      <c r="P41" s="42"/>
      <c r="Q41" s="45" t="s">
        <v>95</v>
      </c>
      <c r="R41" s="42"/>
      <c r="S41" s="45" t="s">
        <v>95</v>
      </c>
    </row>
    <row r="42" spans="1:19" x14ac:dyDescent="0.35">
      <c r="A42" s="10"/>
      <c r="B42" s="4" t="s">
        <v>65</v>
      </c>
      <c r="C42" s="4">
        <f>C41*B40/F24+E41*D40/F24</f>
        <v>0.4</v>
      </c>
      <c r="I42" s="10"/>
      <c r="J42" s="42"/>
      <c r="K42" s="42"/>
      <c r="L42" s="42"/>
      <c r="M42" s="42"/>
      <c r="N42" s="42"/>
      <c r="O42" s="42"/>
      <c r="P42" s="42"/>
      <c r="Q42" s="42"/>
      <c r="R42" s="42"/>
      <c r="S42" s="42"/>
    </row>
    <row r="43" spans="1:19" ht="15" thickBot="1" x14ac:dyDescent="0.4">
      <c r="A43" s="10"/>
      <c r="B43" s="4" t="s">
        <v>66</v>
      </c>
      <c r="C43" s="26">
        <f>G25-C42</f>
        <v>0.32192809488736229</v>
      </c>
      <c r="I43" s="10"/>
      <c r="J43" s="42"/>
      <c r="K43" s="42"/>
      <c r="L43" s="42"/>
      <c r="M43" s="42"/>
      <c r="N43" s="42"/>
      <c r="O43" s="42"/>
      <c r="P43" s="42"/>
      <c r="Q43" s="42"/>
      <c r="R43" s="42"/>
      <c r="S43" s="42"/>
    </row>
    <row r="44" spans="1:19" ht="15" thickBot="1" x14ac:dyDescent="0.4">
      <c r="A44" s="10"/>
      <c r="I44" s="10"/>
      <c r="J44" s="42"/>
      <c r="K44" s="42"/>
      <c r="L44" s="42"/>
      <c r="M44" s="42"/>
      <c r="N44" s="42"/>
      <c r="O44" s="42"/>
      <c r="P44" s="42"/>
      <c r="Q44" s="46" t="s">
        <v>85</v>
      </c>
      <c r="R44" s="42"/>
      <c r="S44" s="46" t="s">
        <v>86</v>
      </c>
    </row>
    <row r="45" spans="1:19" x14ac:dyDescent="0.35">
      <c r="A45" s="10" t="s">
        <v>67</v>
      </c>
      <c r="I45" s="10"/>
    </row>
    <row r="46" spans="1:19" x14ac:dyDescent="0.35">
      <c r="A46" s="27"/>
      <c r="B46" s="4" t="s">
        <v>18</v>
      </c>
      <c r="C46" s="4" t="s">
        <v>29</v>
      </c>
      <c r="D46" s="4" t="s">
        <v>19</v>
      </c>
      <c r="E46" s="4" t="s">
        <v>29</v>
      </c>
      <c r="I46" s="10"/>
    </row>
    <row r="47" spans="1:19" x14ac:dyDescent="0.35">
      <c r="A47" s="23" t="s">
        <v>7</v>
      </c>
      <c r="B47" s="4">
        <f>COUNTIFS($B$3:$B$16,"Bajo",$D$3:$D$16,"Alta",$E$3:$E$16,"Sí")</f>
        <v>0</v>
      </c>
      <c r="C47" s="4">
        <f>B47/B49</f>
        <v>0</v>
      </c>
      <c r="D47" s="4">
        <f>COUNTIFS($B$3:$B$16,"Bajo",$D$3:$D$16,"Baja",$E$3:$E$16,"Sí")</f>
        <v>1</v>
      </c>
      <c r="E47" s="4">
        <f>D47/D49</f>
        <v>0.33333333333333331</v>
      </c>
      <c r="I47" s="10"/>
    </row>
    <row r="48" spans="1:19" ht="15" thickBot="1" x14ac:dyDescent="0.4">
      <c r="A48" s="23" t="s">
        <v>12</v>
      </c>
      <c r="B48" s="4">
        <f>COUNTIFS($B$3:$B$16,"Bajo",$D$3:$D$16,"Alta",$E$3:$E$16,"No")</f>
        <v>2</v>
      </c>
      <c r="C48" s="4">
        <f>B48/B49</f>
        <v>1</v>
      </c>
      <c r="D48" s="4">
        <f>COUNTIFS($B$3:$B$16,"Bajo",$D$3:$D$16,"Baja",$E$3:$E$16,"No")</f>
        <v>2</v>
      </c>
      <c r="E48" s="4">
        <f>D48/D49</f>
        <v>0.66666666666666663</v>
      </c>
      <c r="I48" s="12"/>
      <c r="J48" s="13"/>
      <c r="K48" s="13"/>
      <c r="L48" s="13"/>
      <c r="M48" s="13"/>
      <c r="N48" s="13"/>
      <c r="O48" s="13"/>
      <c r="P48" s="13"/>
      <c r="Q48" s="13"/>
      <c r="R48" s="13"/>
    </row>
    <row r="49" spans="1:8" x14ac:dyDescent="0.35">
      <c r="A49" s="27" t="s">
        <v>26</v>
      </c>
      <c r="B49" s="4">
        <f>SUM(B47:B48)</f>
        <v>2</v>
      </c>
      <c r="C49" s="4">
        <f t="shared" ref="C49" si="5">SUM(C47:C48)</f>
        <v>1</v>
      </c>
      <c r="D49" s="4">
        <f t="shared" ref="D49" si="6">SUM(D47:D48)</f>
        <v>3</v>
      </c>
      <c r="E49" s="4">
        <f t="shared" ref="E49" si="7">SUM(E47:E48)</f>
        <v>1</v>
      </c>
      <c r="H49" s="11"/>
    </row>
    <row r="50" spans="1:8" ht="29" x14ac:dyDescent="0.35">
      <c r="A50" s="10"/>
      <c r="B50" s="15" t="s">
        <v>68</v>
      </c>
      <c r="C50" s="30">
        <f>IFERROR((-C47)*LOG(C47,2)-C48*LOG(C48,2),0)</f>
        <v>0</v>
      </c>
      <c r="D50" s="15" t="s">
        <v>70</v>
      </c>
      <c r="E50" s="30">
        <f>IFERROR((-E47)*LOG(E47,2)-E48*LOG(E48,2),0)</f>
        <v>0.91829583405448956</v>
      </c>
      <c r="H50" s="11"/>
    </row>
    <row r="51" spans="1:8" ht="29" x14ac:dyDescent="0.35">
      <c r="A51" s="10"/>
      <c r="B51" s="15" t="s">
        <v>65</v>
      </c>
      <c r="C51" s="4">
        <f>C50*B49/F24+E50*D49/F24</f>
        <v>0.55097750043269378</v>
      </c>
      <c r="H51" s="11"/>
    </row>
    <row r="52" spans="1:8" ht="15" thickBot="1" x14ac:dyDescent="0.4">
      <c r="A52" s="12"/>
      <c r="B52" s="33" t="s">
        <v>66</v>
      </c>
      <c r="C52" s="34">
        <f>G25-C51</f>
        <v>0.17095059445466854</v>
      </c>
      <c r="D52" s="13"/>
      <c r="E52" s="13"/>
      <c r="F52" s="13"/>
      <c r="G52" s="13"/>
      <c r="H52" s="14"/>
    </row>
    <row r="53" spans="1:8" ht="15" thickBot="1" x14ac:dyDescent="0.4">
      <c r="A53" s="8"/>
      <c r="B53" s="9"/>
      <c r="C53" s="9"/>
      <c r="D53" s="9"/>
      <c r="E53" s="9"/>
      <c r="F53" s="9"/>
      <c r="G53" s="9"/>
      <c r="H53" s="21"/>
    </row>
    <row r="54" spans="1:8" x14ac:dyDescent="0.35">
      <c r="A54" s="8" t="s">
        <v>61</v>
      </c>
      <c r="B54" s="9"/>
      <c r="C54" s="9"/>
      <c r="D54" s="9"/>
      <c r="E54" s="9"/>
      <c r="H54" s="11"/>
    </row>
    <row r="55" spans="1:8" x14ac:dyDescent="0.35">
      <c r="A55" s="27"/>
      <c r="B55" s="4" t="s">
        <v>16</v>
      </c>
      <c r="C55" s="4" t="s">
        <v>29</v>
      </c>
      <c r="D55" s="4" t="s">
        <v>17</v>
      </c>
      <c r="E55" s="4" t="s">
        <v>29</v>
      </c>
      <c r="H55" s="11"/>
    </row>
    <row r="56" spans="1:8" x14ac:dyDescent="0.35">
      <c r="A56" s="23" t="s">
        <v>7</v>
      </c>
      <c r="B56" s="4">
        <f>COUNTIFS($B$3:$B$16,"Bajo",$C$3:$C$16,"Bueno",$E$3:$E$16,"Sí")</f>
        <v>1</v>
      </c>
      <c r="C56" s="4">
        <f>B56/B58</f>
        <v>0.5</v>
      </c>
      <c r="D56" s="4">
        <f>COUNTIFS($B$3:$B$16,"Bajo",$C$3:$C$16,"Malo",$E$3:$E$16,"Sí")</f>
        <v>0</v>
      </c>
      <c r="E56" s="4">
        <f>D56/D58</f>
        <v>0</v>
      </c>
      <c r="H56" s="11"/>
    </row>
    <row r="57" spans="1:8" x14ac:dyDescent="0.35">
      <c r="A57" s="23" t="s">
        <v>12</v>
      </c>
      <c r="B57" s="4">
        <f>COUNTIFS($B$3:$B$16,"Bajo",$C$3:$C$16,"Bueno",$E$3:$E$16,"No")</f>
        <v>1</v>
      </c>
      <c r="C57" s="4">
        <f>B57/B58</f>
        <v>0.5</v>
      </c>
      <c r="D57" s="4">
        <f>COUNTIFS($B$3:$B$16,"Bajo",$C$3:$C$16,"Malo",$E$3:$E$16,"No")</f>
        <v>3</v>
      </c>
      <c r="E57" s="4">
        <f>D57/D58</f>
        <v>1</v>
      </c>
      <c r="H57" s="11"/>
    </row>
    <row r="58" spans="1:8" x14ac:dyDescent="0.35">
      <c r="A58" s="27" t="s">
        <v>26</v>
      </c>
      <c r="B58" s="4">
        <f>SUM(B56:B57)</f>
        <v>2</v>
      </c>
      <c r="C58" s="4">
        <f t="shared" ref="C58" si="8">SUM(C56:C57)</f>
        <v>1</v>
      </c>
      <c r="D58" s="4">
        <f t="shared" ref="D58" si="9">SUM(D56:D57)</f>
        <v>3</v>
      </c>
      <c r="E58" s="4">
        <f t="shared" ref="E58" si="10">SUM(E56:E57)</f>
        <v>1</v>
      </c>
      <c r="H58" s="11"/>
    </row>
    <row r="59" spans="1:8" ht="29" x14ac:dyDescent="0.35">
      <c r="A59" s="10"/>
      <c r="B59" s="15" t="s">
        <v>30</v>
      </c>
      <c r="C59" s="30">
        <f>IFERROR((-C56)*LOG(C56,2)-C57*LOG(C57,2),0)</f>
        <v>1</v>
      </c>
      <c r="D59" s="15" t="s">
        <v>31</v>
      </c>
      <c r="E59" s="30">
        <f>IFERROR((-E56)*LOG(E56,2)-E57*LOG(E57,2),0)</f>
        <v>0</v>
      </c>
      <c r="H59" s="11"/>
    </row>
    <row r="60" spans="1:8" ht="15" thickBot="1" x14ac:dyDescent="0.4">
      <c r="A60" s="10"/>
      <c r="D60" t="s">
        <v>72</v>
      </c>
      <c r="H60" s="11"/>
    </row>
    <row r="61" spans="1:8" x14ac:dyDescent="0.35">
      <c r="A61" s="8" t="s">
        <v>71</v>
      </c>
      <c r="H61" s="11"/>
    </row>
    <row r="62" spans="1:8" x14ac:dyDescent="0.35">
      <c r="A62" s="27"/>
      <c r="B62" s="4" t="s">
        <v>18</v>
      </c>
      <c r="C62" s="4" t="s">
        <v>29</v>
      </c>
      <c r="D62" s="4" t="s">
        <v>19</v>
      </c>
      <c r="E62" s="4" t="s">
        <v>29</v>
      </c>
      <c r="H62" s="11"/>
    </row>
    <row r="63" spans="1:8" x14ac:dyDescent="0.35">
      <c r="A63" s="23" t="s">
        <v>7</v>
      </c>
      <c r="B63" s="4">
        <f>COUNTIFS($B$3:$B$16,"Bajo",$C$3:$C$16,"Bueno",$D$3:$D$16,"Alta",$E$3:$E$16,"Sí")</f>
        <v>0</v>
      </c>
      <c r="C63" s="4">
        <f>B63/B65</f>
        <v>0</v>
      </c>
      <c r="D63" s="4">
        <f>COUNTIFS($B$3:$B$16,"Bajo",$C$3:$C$16,"Bueno",$D$3:$D$16,"Baja",$E$3:$E$16,"Sí")</f>
        <v>1</v>
      </c>
      <c r="E63" s="4">
        <f>D63/D65</f>
        <v>1</v>
      </c>
      <c r="H63" s="11"/>
    </row>
    <row r="64" spans="1:8" x14ac:dyDescent="0.35">
      <c r="A64" s="23" t="s">
        <v>12</v>
      </c>
      <c r="B64" s="4">
        <f>COUNTIFS($B$3:$B$16,"Bajo",$C$3:$C$16,"Bueno",$D$3:$D$16,"Alta",$E$3:$E$16,"No")</f>
        <v>1</v>
      </c>
      <c r="C64" s="4">
        <f>B64/B65</f>
        <v>1</v>
      </c>
      <c r="D64" s="4">
        <f>COUNTIFS($B$3:$B$16,"Bajo",$C$3:$C$16,"Bueno",$D$3:$D$16,"Baja",$E$3:$E$16,"No")</f>
        <v>0</v>
      </c>
      <c r="E64" s="4">
        <f>D64/D65</f>
        <v>0</v>
      </c>
      <c r="H64" s="11"/>
    </row>
    <row r="65" spans="1:8" x14ac:dyDescent="0.35">
      <c r="A65" s="27" t="s">
        <v>26</v>
      </c>
      <c r="B65" s="4">
        <f>SUM(B63:B64)</f>
        <v>1</v>
      </c>
      <c r="C65" s="4">
        <f t="shared" ref="C65" si="11">SUM(C63:C64)</f>
        <v>1</v>
      </c>
      <c r="D65" s="4">
        <f t="shared" ref="D65" si="12">SUM(D63:D64)</f>
        <v>1</v>
      </c>
      <c r="E65" s="4">
        <f t="shared" ref="E65" si="13">SUM(E63:E64)</f>
        <v>1</v>
      </c>
      <c r="H65" s="11"/>
    </row>
    <row r="66" spans="1:8" ht="29" x14ac:dyDescent="0.35">
      <c r="A66" s="10"/>
      <c r="B66" s="15" t="s">
        <v>68</v>
      </c>
      <c r="C66" s="30">
        <f>IFERROR((-C63)*LOG(C63,2)-C64*LOG(C64,2),0)</f>
        <v>0</v>
      </c>
      <c r="D66" s="15" t="s">
        <v>70</v>
      </c>
      <c r="E66" s="30">
        <f>IFERROR((-E63)*LOG(E63,2)-E64*LOG(E64,2),0)</f>
        <v>0</v>
      </c>
      <c r="H66" s="11"/>
    </row>
    <row r="67" spans="1:8" x14ac:dyDescent="0.35">
      <c r="A67" s="10"/>
      <c r="B67" s="15"/>
      <c r="C67" s="4"/>
      <c r="H67" s="11"/>
    </row>
    <row r="68" spans="1:8" ht="15" thickBot="1" x14ac:dyDescent="0.4">
      <c r="A68" s="12"/>
      <c r="B68" s="33"/>
      <c r="C68" s="34"/>
      <c r="D68" s="13"/>
      <c r="E68" s="13"/>
      <c r="F68" s="13"/>
      <c r="G68" s="13"/>
      <c r="H68" s="14"/>
    </row>
  </sheetData>
  <autoFilter ref="A2:E16" xr:uid="{452C049A-C847-4BB9-8330-B0672BDF927D}">
    <filterColumn colId="1">
      <filters>
        <filter val="Alto"/>
      </filters>
    </filterColumn>
  </autoFilter>
  <mergeCells count="1">
    <mergeCell ref="L8:N8"/>
  </mergeCells>
  <pageMargins left="0.7" right="0.7" top="0.75" bottom="0.75" header="0.3" footer="0.3"/>
  <ignoredErrors>
    <ignoredError sqref="D22 F22:F23 D47:D48 D56:D57 D63:D64"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02B4B-FA60-4DFE-9100-60528FA2B4F4}">
  <dimension ref="A1:L11"/>
  <sheetViews>
    <sheetView workbookViewId="0">
      <selection activeCell="F2" sqref="F2"/>
    </sheetView>
  </sheetViews>
  <sheetFormatPr baseColWidth="10" defaultRowHeight="14.5" x14ac:dyDescent="0.35"/>
  <sheetData>
    <row r="1" spans="1:12" ht="29" x14ac:dyDescent="0.35">
      <c r="A1" s="49" t="s">
        <v>36</v>
      </c>
      <c r="B1" s="49" t="s">
        <v>98</v>
      </c>
      <c r="D1" s="49" t="s">
        <v>110</v>
      </c>
      <c r="E1" s="49" t="s">
        <v>100</v>
      </c>
      <c r="F1" s="49" t="s">
        <v>111</v>
      </c>
      <c r="G1" s="49" t="s">
        <v>112</v>
      </c>
      <c r="H1" s="49" t="s">
        <v>116</v>
      </c>
      <c r="I1" s="49" t="s">
        <v>113</v>
      </c>
      <c r="J1" s="49" t="s">
        <v>114</v>
      </c>
      <c r="K1" s="49" t="s">
        <v>115</v>
      </c>
      <c r="L1" s="49" t="s">
        <v>50</v>
      </c>
    </row>
    <row r="2" spans="1:12" x14ac:dyDescent="0.35">
      <c r="A2" s="37">
        <v>60</v>
      </c>
      <c r="B2" s="37" t="s">
        <v>86</v>
      </c>
      <c r="D2" s="37" t="s">
        <v>101</v>
      </c>
      <c r="E2" s="40">
        <f t="shared" ref="E2:E10" si="0">(A2+A3)/2</f>
        <v>65</v>
      </c>
      <c r="F2" s="50">
        <f>COUNTIFS($A$2:$A$11,"&lt;="&amp;E2,$B$2:$B$11,"Sí")</f>
        <v>0</v>
      </c>
      <c r="G2" s="50">
        <f>COUNTIFS($A$2:$A$11,"&lt;="&amp;E2,$B$2:$B$11,"No")</f>
        <v>1</v>
      </c>
      <c r="H2" s="50">
        <f>1-(F2/(F2+G2))^2-(G2/(F2+G2))^2</f>
        <v>0</v>
      </c>
      <c r="I2" s="50">
        <f t="shared" ref="I2:I10" si="1">COUNTIFS($A$2:$A$11,"&gt;"&amp;E2,$B$2:$B$11,"Sí")</f>
        <v>5</v>
      </c>
      <c r="J2" s="50">
        <f t="shared" ref="J2:J10" si="2">COUNTIFS($A$2:$A$11,"&gt;"&amp;E2,$B$2:$B$11,"No")</f>
        <v>4</v>
      </c>
      <c r="K2" s="51">
        <f>1-(I2/(I2+J2))^2-(J2/(I2+J2))^2</f>
        <v>0.49382716049382713</v>
      </c>
      <c r="L2" s="51">
        <f>H2*((F2+G2)/(F2+G2+I2+J2))+K2*((I2+J2)/(F2+G2+I2+J2))</f>
        <v>0.44444444444444442</v>
      </c>
    </row>
    <row r="3" spans="1:12" x14ac:dyDescent="0.35">
      <c r="A3" s="37">
        <v>70</v>
      </c>
      <c r="B3" s="37" t="s">
        <v>86</v>
      </c>
      <c r="D3" s="37" t="s">
        <v>102</v>
      </c>
      <c r="E3" s="40">
        <f t="shared" si="0"/>
        <v>75</v>
      </c>
      <c r="F3" s="50">
        <f t="shared" ref="F3:F10" si="3">COUNTIFS($A$2:$A$11,"&lt;="&amp;E3,$B$2:$B$11,"Sí")</f>
        <v>0</v>
      </c>
      <c r="G3" s="50">
        <f t="shared" ref="G3:G10" si="4">COUNTIFS($A$2:$A$11,"&lt;="&amp;E3,$B$2:$B$11,"No")</f>
        <v>2</v>
      </c>
      <c r="H3" s="50">
        <f t="shared" ref="H3:H10" si="5">1-(F3/(F3+G3))^2-(G3/(F3+G3))^2</f>
        <v>0</v>
      </c>
      <c r="I3" s="50">
        <f t="shared" si="1"/>
        <v>5</v>
      </c>
      <c r="J3" s="50">
        <f t="shared" si="2"/>
        <v>3</v>
      </c>
      <c r="K3" s="51">
        <f t="shared" ref="K3:K10" si="6">1-(I3/(I3+J3))^2-(J3/(I3+J3))^2</f>
        <v>0.46875</v>
      </c>
      <c r="L3" s="51">
        <f t="shared" ref="L3:L10" si="7">H3*((F3+G3)/(F3+G3+I3+J3))+K3*((I3+J3)/(F3+G3+I3+J3))</f>
        <v>0.375</v>
      </c>
    </row>
    <row r="4" spans="1:12" x14ac:dyDescent="0.35">
      <c r="A4" s="37">
        <v>80</v>
      </c>
      <c r="B4" s="37" t="s">
        <v>86</v>
      </c>
      <c r="D4" s="37" t="s">
        <v>103</v>
      </c>
      <c r="E4" s="40">
        <f t="shared" si="0"/>
        <v>87.5</v>
      </c>
      <c r="F4" s="50">
        <f t="shared" si="3"/>
        <v>0</v>
      </c>
      <c r="G4" s="50">
        <f t="shared" si="4"/>
        <v>3</v>
      </c>
      <c r="H4" s="50">
        <f t="shared" si="5"/>
        <v>0</v>
      </c>
      <c r="I4" s="50">
        <f t="shared" si="1"/>
        <v>5</v>
      </c>
      <c r="J4" s="50">
        <f t="shared" si="2"/>
        <v>2</v>
      </c>
      <c r="K4" s="51">
        <f t="shared" si="6"/>
        <v>0.40816326530612246</v>
      </c>
      <c r="L4" s="51">
        <f t="shared" si="7"/>
        <v>0.2857142857142857</v>
      </c>
    </row>
    <row r="5" spans="1:12" x14ac:dyDescent="0.35">
      <c r="A5" s="37">
        <v>95</v>
      </c>
      <c r="B5" s="37" t="s">
        <v>99</v>
      </c>
      <c r="D5" s="37" t="s">
        <v>104</v>
      </c>
      <c r="E5" s="40">
        <f t="shared" si="0"/>
        <v>97.5</v>
      </c>
      <c r="F5" s="50">
        <f t="shared" si="3"/>
        <v>1</v>
      </c>
      <c r="G5" s="50">
        <f t="shared" si="4"/>
        <v>3</v>
      </c>
      <c r="H5" s="51">
        <f t="shared" si="5"/>
        <v>0.375</v>
      </c>
      <c r="I5" s="50">
        <f t="shared" si="1"/>
        <v>4</v>
      </c>
      <c r="J5" s="50">
        <f t="shared" si="2"/>
        <v>2</v>
      </c>
      <c r="K5" s="51">
        <f t="shared" si="6"/>
        <v>0.44444444444444448</v>
      </c>
      <c r="L5" s="51">
        <f t="shared" si="7"/>
        <v>0.41666666666666669</v>
      </c>
    </row>
    <row r="6" spans="1:12" x14ac:dyDescent="0.35">
      <c r="A6" s="37">
        <v>100</v>
      </c>
      <c r="B6" s="37" t="s">
        <v>86</v>
      </c>
      <c r="D6" s="37" t="s">
        <v>105</v>
      </c>
      <c r="E6" s="40">
        <f t="shared" si="0"/>
        <v>105</v>
      </c>
      <c r="F6" s="50">
        <f t="shared" si="3"/>
        <v>1</v>
      </c>
      <c r="G6" s="50">
        <f t="shared" si="4"/>
        <v>4</v>
      </c>
      <c r="H6" s="51">
        <f t="shared" si="5"/>
        <v>0.31999999999999984</v>
      </c>
      <c r="I6" s="50">
        <f t="shared" si="1"/>
        <v>4</v>
      </c>
      <c r="J6" s="50">
        <f t="shared" si="2"/>
        <v>1</v>
      </c>
      <c r="K6" s="51">
        <f t="shared" si="6"/>
        <v>0.31999999999999984</v>
      </c>
      <c r="L6" s="51">
        <f t="shared" si="7"/>
        <v>0.31999999999999984</v>
      </c>
    </row>
    <row r="7" spans="1:12" x14ac:dyDescent="0.35">
      <c r="A7" s="37">
        <v>110</v>
      </c>
      <c r="B7" s="37" t="s">
        <v>99</v>
      </c>
      <c r="D7" s="37" t="s">
        <v>106</v>
      </c>
      <c r="E7" s="40">
        <f t="shared" si="0"/>
        <v>112.5</v>
      </c>
      <c r="F7" s="50">
        <f t="shared" si="3"/>
        <v>2</v>
      </c>
      <c r="G7" s="50">
        <f t="shared" si="4"/>
        <v>4</v>
      </c>
      <c r="H7" s="51">
        <f t="shared" si="5"/>
        <v>0.44444444444444442</v>
      </c>
      <c r="I7" s="50">
        <f t="shared" si="1"/>
        <v>3</v>
      </c>
      <c r="J7" s="50">
        <f t="shared" si="2"/>
        <v>1</v>
      </c>
      <c r="K7" s="51">
        <f t="shared" si="6"/>
        <v>0.375</v>
      </c>
      <c r="L7" s="51">
        <f t="shared" si="7"/>
        <v>0.41666666666666669</v>
      </c>
    </row>
    <row r="8" spans="1:12" x14ac:dyDescent="0.35">
      <c r="A8" s="37">
        <v>115</v>
      </c>
      <c r="B8" s="37" t="s">
        <v>99</v>
      </c>
      <c r="D8" s="37" t="s">
        <v>107</v>
      </c>
      <c r="E8" s="40">
        <f t="shared" si="0"/>
        <v>117.5</v>
      </c>
      <c r="F8" s="50">
        <f t="shared" si="3"/>
        <v>3</v>
      </c>
      <c r="G8" s="50">
        <f t="shared" si="4"/>
        <v>4</v>
      </c>
      <c r="H8" s="51">
        <f t="shared" si="5"/>
        <v>0.48979591836734698</v>
      </c>
      <c r="I8" s="50">
        <f t="shared" si="1"/>
        <v>2</v>
      </c>
      <c r="J8" s="50">
        <f t="shared" si="2"/>
        <v>1</v>
      </c>
      <c r="K8" s="51">
        <f t="shared" si="6"/>
        <v>0.44444444444444448</v>
      </c>
      <c r="L8" s="51">
        <f t="shared" si="7"/>
        <v>0.47619047619047616</v>
      </c>
    </row>
    <row r="9" spans="1:12" x14ac:dyDescent="0.35">
      <c r="A9" s="37">
        <v>120</v>
      </c>
      <c r="B9" s="37" t="s">
        <v>99</v>
      </c>
      <c r="D9" s="37" t="s">
        <v>108</v>
      </c>
      <c r="E9" s="40">
        <f t="shared" si="0"/>
        <v>125</v>
      </c>
      <c r="F9" s="50">
        <f t="shared" si="3"/>
        <v>4</v>
      </c>
      <c r="G9" s="50">
        <f t="shared" si="4"/>
        <v>4</v>
      </c>
      <c r="H9" s="51">
        <f t="shared" si="5"/>
        <v>0.5</v>
      </c>
      <c r="I9" s="50">
        <f t="shared" si="1"/>
        <v>1</v>
      </c>
      <c r="J9" s="50">
        <f t="shared" si="2"/>
        <v>1</v>
      </c>
      <c r="K9" s="51">
        <f t="shared" si="6"/>
        <v>0.5</v>
      </c>
      <c r="L9" s="51">
        <f t="shared" si="7"/>
        <v>0.5</v>
      </c>
    </row>
    <row r="10" spans="1:12" x14ac:dyDescent="0.35">
      <c r="A10" s="37">
        <v>130</v>
      </c>
      <c r="B10" s="37" t="s">
        <v>99</v>
      </c>
      <c r="D10" s="37" t="s">
        <v>109</v>
      </c>
      <c r="E10" s="40">
        <f t="shared" si="0"/>
        <v>135</v>
      </c>
      <c r="F10" s="50">
        <f t="shared" si="3"/>
        <v>5</v>
      </c>
      <c r="G10" s="50">
        <f t="shared" si="4"/>
        <v>4</v>
      </c>
      <c r="H10" s="51">
        <f t="shared" si="5"/>
        <v>0.49382716049382713</v>
      </c>
      <c r="I10" s="50">
        <f t="shared" si="1"/>
        <v>0</v>
      </c>
      <c r="J10" s="50">
        <f t="shared" si="2"/>
        <v>1</v>
      </c>
      <c r="K10" s="50">
        <f t="shared" si="6"/>
        <v>0</v>
      </c>
      <c r="L10" s="51">
        <f t="shared" si="7"/>
        <v>0.44444444444444442</v>
      </c>
    </row>
    <row r="11" spans="1:12" x14ac:dyDescent="0.35">
      <c r="A11" s="37">
        <v>140</v>
      </c>
      <c r="B11" s="37" t="s">
        <v>86</v>
      </c>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5997F-E27C-404E-9207-6040A6CD3BDD}">
  <dimension ref="A1:H12"/>
  <sheetViews>
    <sheetView zoomScale="130" zoomScaleNormal="130" workbookViewId="0">
      <selection activeCell="C4" sqref="C4"/>
    </sheetView>
  </sheetViews>
  <sheetFormatPr baseColWidth="10" defaultRowHeight="14.5" x14ac:dyDescent="0.35"/>
  <cols>
    <col min="1" max="1" width="28.453125" customWidth="1"/>
    <col min="2" max="2" width="11.81640625" customWidth="1"/>
    <col min="3" max="3" width="11.6328125" customWidth="1"/>
    <col min="4" max="4" width="8.7265625" customWidth="1"/>
    <col min="7" max="7" width="15.453125" customWidth="1"/>
    <col min="8" max="8" width="14" customWidth="1"/>
  </cols>
  <sheetData>
    <row r="1" spans="1:8" x14ac:dyDescent="0.35">
      <c r="A1" s="52" t="s">
        <v>22</v>
      </c>
      <c r="B1" s="9"/>
      <c r="C1" s="9"/>
      <c r="D1" s="21"/>
      <c r="E1" s="8" t="s">
        <v>129</v>
      </c>
      <c r="F1" s="9"/>
      <c r="G1" s="8" t="s">
        <v>138</v>
      </c>
      <c r="H1" s="21"/>
    </row>
    <row r="2" spans="1:8" x14ac:dyDescent="0.35">
      <c r="A2" s="69" t="s">
        <v>117</v>
      </c>
      <c r="B2" s="70"/>
      <c r="D2" s="11"/>
      <c r="E2" s="27" t="s">
        <v>135</v>
      </c>
      <c r="F2" s="25" t="s">
        <v>136</v>
      </c>
      <c r="G2" s="69" t="s">
        <v>139</v>
      </c>
      <c r="H2" s="71"/>
    </row>
    <row r="3" spans="1:8" ht="29" x14ac:dyDescent="0.35">
      <c r="A3" s="53" t="s">
        <v>118</v>
      </c>
      <c r="B3" s="39" t="s">
        <v>122</v>
      </c>
      <c r="C3" s="39" t="s">
        <v>123</v>
      </c>
      <c r="D3" s="54" t="s">
        <v>119</v>
      </c>
      <c r="E3" s="27" t="s">
        <v>130</v>
      </c>
      <c r="F3" s="60">
        <f>(B8+B9)/B12</f>
        <v>0.75</v>
      </c>
      <c r="G3" s="10" t="s">
        <v>140</v>
      </c>
      <c r="H3" s="61">
        <f>F3</f>
        <v>0.75</v>
      </c>
    </row>
    <row r="4" spans="1:8" x14ac:dyDescent="0.35">
      <c r="A4" s="55" t="s">
        <v>120</v>
      </c>
      <c r="B4" s="38">
        <v>35</v>
      </c>
      <c r="C4" s="38">
        <v>15</v>
      </c>
      <c r="D4" s="54">
        <f>SUM(B4:C4)</f>
        <v>50</v>
      </c>
      <c r="E4" s="27" t="s">
        <v>131</v>
      </c>
      <c r="F4" s="60">
        <f>(B10+B11)/B12</f>
        <v>0.25</v>
      </c>
      <c r="G4" s="72" t="s">
        <v>141</v>
      </c>
      <c r="H4" s="73"/>
    </row>
    <row r="5" spans="1:8" x14ac:dyDescent="0.35">
      <c r="A5" s="55" t="s">
        <v>121</v>
      </c>
      <c r="B5" s="38">
        <v>10</v>
      </c>
      <c r="C5" s="38">
        <v>40</v>
      </c>
      <c r="D5" s="54">
        <f>SUM(B5:C5)</f>
        <v>50</v>
      </c>
      <c r="E5" s="27" t="s">
        <v>132</v>
      </c>
      <c r="F5" s="60">
        <f>B8/(B8+B10)</f>
        <v>0.77777777777777779</v>
      </c>
      <c r="G5" s="27" t="s">
        <v>147</v>
      </c>
      <c r="H5" s="59" t="s">
        <v>142</v>
      </c>
    </row>
    <row r="6" spans="1:8" x14ac:dyDescent="0.35">
      <c r="A6" s="55" t="s">
        <v>119</v>
      </c>
      <c r="B6" s="40">
        <f>SUM(B4:B5)</f>
        <v>45</v>
      </c>
      <c r="C6" s="40">
        <f>SUM(C4:C5)</f>
        <v>55</v>
      </c>
      <c r="D6" s="54">
        <f>SUM(D4:D5)</f>
        <v>100</v>
      </c>
      <c r="E6" s="27" t="s">
        <v>133</v>
      </c>
      <c r="F6" s="60">
        <f>B8/(B8+B11)</f>
        <v>0.7</v>
      </c>
      <c r="G6" s="27" t="s">
        <v>143</v>
      </c>
      <c r="H6" s="59">
        <f>D4/D6</f>
        <v>0.5</v>
      </c>
    </row>
    <row r="7" spans="1:8" x14ac:dyDescent="0.35">
      <c r="A7" s="10"/>
      <c r="D7" s="11"/>
      <c r="E7" s="27" t="s">
        <v>134</v>
      </c>
      <c r="F7" s="60">
        <f>B9/(B9+B10)</f>
        <v>0.8</v>
      </c>
      <c r="G7" s="27" t="s">
        <v>144</v>
      </c>
      <c r="H7" s="59">
        <f>D5/D6</f>
        <v>0.5</v>
      </c>
    </row>
    <row r="8" spans="1:8" ht="15.5" x14ac:dyDescent="0.35">
      <c r="A8" s="56" t="s">
        <v>124</v>
      </c>
      <c r="B8" s="4">
        <f xml:space="preserve"> 35</f>
        <v>35</v>
      </c>
      <c r="D8" s="11"/>
      <c r="E8" s="27" t="s">
        <v>137</v>
      </c>
      <c r="F8" s="60">
        <f>2*(F6*F5)/(F6+F5)</f>
        <v>0.73684210526315774</v>
      </c>
      <c r="G8" s="27" t="s">
        <v>145</v>
      </c>
      <c r="H8" s="59">
        <f>B6/D6</f>
        <v>0.45</v>
      </c>
    </row>
    <row r="9" spans="1:8" ht="15.5" x14ac:dyDescent="0.35">
      <c r="A9" s="56" t="s">
        <v>125</v>
      </c>
      <c r="B9" s="4">
        <v>40</v>
      </c>
      <c r="D9" s="11"/>
      <c r="E9" s="10"/>
      <c r="G9" s="27" t="s">
        <v>146</v>
      </c>
      <c r="H9" s="59">
        <f>C6/D6</f>
        <v>0.55000000000000004</v>
      </c>
    </row>
    <row r="10" spans="1:8" ht="15.5" x14ac:dyDescent="0.35">
      <c r="A10" s="56" t="s">
        <v>126</v>
      </c>
      <c r="B10" s="4">
        <v>10</v>
      </c>
      <c r="D10" s="11"/>
      <c r="E10" s="10"/>
      <c r="G10" s="27" t="s">
        <v>148</v>
      </c>
      <c r="H10" s="59">
        <f>H6*H8+H7*H9</f>
        <v>0.5</v>
      </c>
    </row>
    <row r="11" spans="1:8" ht="15.5" x14ac:dyDescent="0.35">
      <c r="A11" s="56" t="s">
        <v>127</v>
      </c>
      <c r="B11" s="4">
        <v>15</v>
      </c>
      <c r="D11" s="11"/>
      <c r="E11" s="10"/>
      <c r="G11" s="10"/>
      <c r="H11" s="11"/>
    </row>
    <row r="12" spans="1:8" ht="16" thickBot="1" x14ac:dyDescent="0.4">
      <c r="A12" s="57" t="s">
        <v>128</v>
      </c>
      <c r="B12" s="58">
        <v>100</v>
      </c>
      <c r="C12" s="13"/>
      <c r="D12" s="14"/>
      <c r="E12" s="12"/>
      <c r="F12" s="13"/>
      <c r="G12" s="62" t="s">
        <v>149</v>
      </c>
      <c r="H12" s="63">
        <f>(H3-H10)/(1-H10)</f>
        <v>0.5</v>
      </c>
    </row>
  </sheetData>
  <mergeCells count="3">
    <mergeCell ref="A2:B2"/>
    <mergeCell ref="G2:H2"/>
    <mergeCell ref="G4:H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02015-ED6F-49E2-92A4-4BE950862F07}">
  <dimension ref="A1:L9"/>
  <sheetViews>
    <sheetView zoomScale="80" zoomScaleNormal="80" workbookViewId="0">
      <selection sqref="A1:C9"/>
    </sheetView>
  </sheetViews>
  <sheetFormatPr baseColWidth="10" defaultRowHeight="14.5" x14ac:dyDescent="0.35"/>
  <cols>
    <col min="2" max="2" width="13.08984375" customWidth="1"/>
  </cols>
  <sheetData>
    <row r="1" spans="1:12" ht="43.5" x14ac:dyDescent="0.35">
      <c r="A1" s="37" t="s">
        <v>150</v>
      </c>
      <c r="B1" s="37" t="s">
        <v>151</v>
      </c>
      <c r="C1" s="37" t="s">
        <v>152</v>
      </c>
      <c r="E1" t="s">
        <v>22</v>
      </c>
      <c r="L1" t="s">
        <v>153</v>
      </c>
    </row>
    <row r="2" spans="1:12" x14ac:dyDescent="0.35">
      <c r="A2" s="4">
        <v>1</v>
      </c>
      <c r="B2" s="4">
        <v>0.42</v>
      </c>
      <c r="C2" s="4">
        <v>0.45</v>
      </c>
    </row>
    <row r="3" spans="1:12" x14ac:dyDescent="0.35">
      <c r="A3" s="4">
        <v>3</v>
      </c>
      <c r="B3" s="4">
        <v>0.3</v>
      </c>
      <c r="C3" s="4">
        <v>0.33</v>
      </c>
    </row>
    <row r="4" spans="1:12" x14ac:dyDescent="0.35">
      <c r="A4" s="4">
        <v>5</v>
      </c>
      <c r="B4" s="4">
        <v>0.22</v>
      </c>
      <c r="C4" s="4">
        <v>0.26</v>
      </c>
    </row>
    <row r="5" spans="1:12" x14ac:dyDescent="0.35">
      <c r="A5" s="4">
        <v>7</v>
      </c>
      <c r="B5" s="4">
        <v>0.16</v>
      </c>
      <c r="C5" s="4">
        <v>0.21</v>
      </c>
    </row>
    <row r="6" spans="1:12" x14ac:dyDescent="0.35">
      <c r="A6" s="4">
        <v>9</v>
      </c>
      <c r="B6" s="4">
        <v>0.12</v>
      </c>
      <c r="C6" s="4">
        <v>0.19</v>
      </c>
    </row>
    <row r="7" spans="1:12" x14ac:dyDescent="0.35">
      <c r="A7" s="4">
        <v>15</v>
      </c>
      <c r="B7" s="4">
        <v>0.06</v>
      </c>
      <c r="C7" s="4">
        <v>0.2</v>
      </c>
    </row>
    <row r="8" spans="1:12" x14ac:dyDescent="0.35">
      <c r="A8" s="4">
        <v>25</v>
      </c>
      <c r="B8" s="4">
        <v>0.02</v>
      </c>
      <c r="C8" s="4">
        <v>0.27</v>
      </c>
    </row>
    <row r="9" spans="1:12" x14ac:dyDescent="0.35">
      <c r="A9" s="4">
        <v>40</v>
      </c>
      <c r="B9" s="4">
        <v>0</v>
      </c>
      <c r="C9" s="4">
        <v>0.34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4787B-513D-4622-A27F-4CD4B12C71C6}">
  <dimension ref="A1:I16"/>
  <sheetViews>
    <sheetView tabSelected="1" workbookViewId="0">
      <selection activeCell="H13" sqref="H13"/>
    </sheetView>
  </sheetViews>
  <sheetFormatPr baseColWidth="10" defaultRowHeight="14.5" x14ac:dyDescent="0.35"/>
  <cols>
    <col min="2" max="2" width="12.90625" customWidth="1"/>
    <col min="3" max="3" width="12.54296875" customWidth="1"/>
    <col min="4" max="4" width="16.1796875" customWidth="1"/>
    <col min="7" max="7" width="12.7265625" customWidth="1"/>
  </cols>
  <sheetData>
    <row r="1" spans="1:9" x14ac:dyDescent="0.35">
      <c r="A1" t="s">
        <v>162</v>
      </c>
    </row>
    <row r="2" spans="1:9" x14ac:dyDescent="0.35">
      <c r="B2" t="s">
        <v>163</v>
      </c>
      <c r="C2" t="s">
        <v>164</v>
      </c>
      <c r="D2" t="s">
        <v>165</v>
      </c>
    </row>
    <row r="3" spans="1:9" ht="43.5" x14ac:dyDescent="0.35">
      <c r="A3" s="74" t="s">
        <v>166</v>
      </c>
      <c r="B3">
        <v>28</v>
      </c>
      <c r="C3">
        <v>12</v>
      </c>
      <c r="D3">
        <f>SUM(B3:C3)</f>
        <v>40</v>
      </c>
    </row>
    <row r="6" spans="1:9" x14ac:dyDescent="0.35">
      <c r="A6" s="4" t="s">
        <v>155</v>
      </c>
      <c r="B6" s="4" t="s">
        <v>156</v>
      </c>
      <c r="C6" s="4" t="s">
        <v>161</v>
      </c>
      <c r="D6" s="75" t="s">
        <v>168</v>
      </c>
    </row>
    <row r="7" spans="1:9" x14ac:dyDescent="0.35">
      <c r="A7" s="4" t="s">
        <v>157</v>
      </c>
      <c r="B7" s="4">
        <v>8</v>
      </c>
      <c r="C7" s="4">
        <v>2</v>
      </c>
      <c r="D7" s="4">
        <f>MIN(B7:C7)</f>
        <v>2</v>
      </c>
    </row>
    <row r="8" spans="1:9" x14ac:dyDescent="0.35">
      <c r="A8" s="4" t="s">
        <v>158</v>
      </c>
      <c r="B8" s="4">
        <v>8</v>
      </c>
      <c r="C8" s="4">
        <v>2</v>
      </c>
      <c r="D8" s="4">
        <f t="shared" ref="D8:D10" si="0">MIN(B8:C8)</f>
        <v>2</v>
      </c>
    </row>
    <row r="9" spans="1:9" x14ac:dyDescent="0.35">
      <c r="A9" s="4" t="s">
        <v>159</v>
      </c>
      <c r="B9" s="4">
        <v>7</v>
      </c>
      <c r="C9" s="4">
        <v>2</v>
      </c>
      <c r="D9" s="4">
        <f t="shared" si="0"/>
        <v>2</v>
      </c>
    </row>
    <row r="10" spans="1:9" x14ac:dyDescent="0.35">
      <c r="A10" s="4" t="s">
        <v>160</v>
      </c>
      <c r="B10" s="4">
        <v>5</v>
      </c>
      <c r="C10" s="4">
        <v>6</v>
      </c>
      <c r="D10" s="4">
        <f t="shared" si="0"/>
        <v>5</v>
      </c>
    </row>
    <row r="11" spans="1:9" ht="15" thickBot="1" x14ac:dyDescent="0.4"/>
    <row r="12" spans="1:9" x14ac:dyDescent="0.35">
      <c r="A12" s="8" t="s">
        <v>22</v>
      </c>
      <c r="B12" s="9" t="s">
        <v>167</v>
      </c>
      <c r="C12" s="9">
        <f>C3/D3</f>
        <v>0.3</v>
      </c>
      <c r="D12" s="9"/>
      <c r="E12" s="21"/>
      <c r="F12" s="8" t="s">
        <v>129</v>
      </c>
      <c r="G12" s="78" t="s">
        <v>172</v>
      </c>
      <c r="H12" s="78">
        <v>1</v>
      </c>
      <c r="I12" s="79" t="s">
        <v>154</v>
      </c>
    </row>
    <row r="13" spans="1:9" ht="43.5" x14ac:dyDescent="0.35">
      <c r="A13" s="10"/>
      <c r="B13" s="76"/>
      <c r="C13" s="76"/>
      <c r="D13" s="76"/>
      <c r="E13" s="11"/>
      <c r="F13" s="10"/>
      <c r="G13" s="15" t="s">
        <v>170</v>
      </c>
      <c r="H13" s="4">
        <f>(C3+H12*0.5)/D3</f>
        <v>0.3125</v>
      </c>
      <c r="I13" s="59"/>
    </row>
    <row r="14" spans="1:9" ht="29" x14ac:dyDescent="0.35">
      <c r="A14" s="10"/>
      <c r="B14" s="77" t="s">
        <v>169</v>
      </c>
      <c r="C14" s="76">
        <f>SUM(D7:D10)/D3</f>
        <v>0.27500000000000002</v>
      </c>
      <c r="D14" s="76"/>
      <c r="E14" s="11"/>
      <c r="F14" s="10"/>
      <c r="G14" s="4" t="s">
        <v>172</v>
      </c>
      <c r="H14" s="4">
        <v>4</v>
      </c>
      <c r="I14" s="59" t="s">
        <v>173</v>
      </c>
    </row>
    <row r="15" spans="1:9" ht="58" x14ac:dyDescent="0.35">
      <c r="A15" s="10"/>
      <c r="B15" s="76"/>
      <c r="C15" s="76"/>
      <c r="D15" s="76"/>
      <c r="E15" s="11"/>
      <c r="F15" s="10"/>
      <c r="G15" s="15" t="s">
        <v>171</v>
      </c>
      <c r="H15" s="4">
        <f>(SUM(D7:D10)+H14*0.5)/D3</f>
        <v>0.32500000000000001</v>
      </c>
      <c r="I15" s="59"/>
    </row>
    <row r="16" spans="1:9" ht="15" thickBot="1" x14ac:dyDescent="0.4">
      <c r="A16" s="12"/>
      <c r="B16" s="13"/>
      <c r="C16" s="13"/>
      <c r="D16" s="13"/>
      <c r="E16" s="14"/>
      <c r="F16" s="12"/>
      <c r="G16" s="13"/>
      <c r="H16" s="13"/>
      <c r="I16"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Ejercicio 1</vt:lpstr>
      <vt:lpstr>Ejercicio 2</vt:lpstr>
      <vt:lpstr>Ejercicio 3</vt:lpstr>
      <vt:lpstr>Ejercicio 4</vt:lpstr>
      <vt:lpstr>Ejercicio 5</vt:lpstr>
      <vt:lpstr>Ejercicio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Ulises Catalano</dc:creator>
  <cp:lastModifiedBy>Ulises Catalano</cp:lastModifiedBy>
  <dcterms:created xsi:type="dcterms:W3CDTF">2026-06-06T12:40:39Z</dcterms:created>
  <dcterms:modified xsi:type="dcterms:W3CDTF">2026-06-16T04:22:57Z</dcterms:modified>
</cp:coreProperties>
</file>